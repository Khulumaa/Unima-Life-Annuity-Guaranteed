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ulu\Desktop\Project\Program\"/>
    </mc:Choice>
  </mc:AlternateContent>
  <xr:revisionPtr revIDLastSave="0" documentId="13_ncr:1_{45716DA9-3020-4153-9E7B-6EEF9FD994B6}" xr6:coauthVersionLast="47" xr6:coauthVersionMax="47" xr10:uidLastSave="{00000000-0000-0000-0000-000000000000}"/>
  <bookViews>
    <workbookView xWindow="-108" yWindow="-108" windowWidth="23256" windowHeight="13176" tabRatio="839" firstSheet="1" activeTab="5" xr2:uid="{A35C38D0-5BD9-4F09-84D2-DA2F42417088}"/>
  </bookViews>
  <sheets>
    <sheet name="SA85-90" sheetId="7" state="hidden" r:id="rId1"/>
    <sheet name="Data" sheetId="2" r:id="rId2"/>
    <sheet name="PDF" sheetId="4" r:id="rId3"/>
    <sheet name="Historical Data" sheetId="5" r:id="rId4"/>
    <sheet name="Import Data" sheetId="6" r:id="rId5"/>
    <sheet name="Basis" sheetId="3" r:id="rId6"/>
    <sheet name="Profit Testing " sheetId="10" state="hidden" r:id="rId7"/>
  </sheets>
  <functionGroups builtInGroupCount="19"/>
  <externalReferences>
    <externalReference r:id="rId8"/>
  </externalReferences>
  <definedNames>
    <definedName name="_xlnm._FilterDatabase" localSheetId="3" hidden="1">'Historical Data'!$A$1:$K$1</definedName>
    <definedName name="_xlnm._FilterDatabase" localSheetId="4" hidden="1">'Import Data'!$A$1:$F$1</definedName>
    <definedName name="AdminExp">'[1]AM92 (New Formula)'!$D$36</definedName>
    <definedName name="AdminExpAM92" localSheetId="0">'SA85-90'!$D$30</definedName>
    <definedName name="AdministrativeExpense">Data!$I$6</definedName>
    <definedName name="AdminRate">Basis!$F$11</definedName>
    <definedName name="AgeNextBirthday">Data!$F$5</definedName>
    <definedName name="AgeNextBirthdayPDF">PDF!$M$30</definedName>
    <definedName name="AnnualBenefit">Data!$I$17</definedName>
    <definedName name="Basis">PDF!$K$41</definedName>
    <definedName name="Benefit">Data!$I$16</definedName>
    <definedName name="ComissionExpense">Data!$I$8</definedName>
    <definedName name="Commission">Data!$I$8</definedName>
    <definedName name="CommissionAM92" localSheetId="0">'SA85-90'!$C$32</definedName>
    <definedName name="CommissionExpense">Data!$I$8</definedName>
    <definedName name="CommissionExpRate">Basis!$F$13</definedName>
    <definedName name="CompoundingPeriod">Data!$F$6</definedName>
    <definedName name="DateOfBirthPDF">PDF!$M$28</definedName>
    <definedName name="DeferedAge">Data!$F$7</definedName>
    <definedName name="DeferredAge">Data!$F$7</definedName>
    <definedName name="DefferedAge">Data!$F$7</definedName>
    <definedName name="DiscountRate">Data!$F$12</definedName>
    <definedName name="DueDateUNIMA">PDF!$M$36</definedName>
    <definedName name="EPVAnnuityGuaranteed">Data!$I$13</definedName>
    <definedName name="EPVAnnuityGuaranteeddAM92" localSheetId="0">'SA85-90'!$C$37</definedName>
    <definedName name="EPVAnnuityGuaranteeddAM92">#REF!</definedName>
    <definedName name="EVPExpense">Data!$I$12</definedName>
    <definedName name="FiveYearGuarantee">PDF!$I$47</definedName>
    <definedName name="Gender">PDF!$M$32</definedName>
    <definedName name="InitialExp">'[1]AM92 (New Formula)'!$C$37</definedName>
    <definedName name="InitialExpAM92" localSheetId="0">'SA85-90'!$C$31</definedName>
    <definedName name="InitialExpense">Data!$I$7</definedName>
    <definedName name="InitialExpRate">Basis!$F$12</definedName>
    <definedName name="Interest">Data!$F$10</definedName>
    <definedName name="InterestRate">Basis!$F$9</definedName>
    <definedName name="InterestRateAM92" localSheetId="0">'SA85-90'!$C$11</definedName>
    <definedName name="IntermediaryName">PDF!$M$58</definedName>
    <definedName name="MonthlyBenefit">Data!$I$20</definedName>
    <definedName name="Name">Data!$F$4</definedName>
    <definedName name="NamePDF">PDF!$M$26</definedName>
    <definedName name="NYearProbabilitySurvival">Data!$F$19</definedName>
    <definedName name="NYearProbabilitySurvivalAM92" localSheetId="0">'SA85-90'!$C$19</definedName>
    <definedName name="PaymentFrequencyPDF">PDF!$M$38</definedName>
    <definedName name="PaymentPeriod">Data!$F$6</definedName>
    <definedName name="PaymentPeriods">[1]AM92!$C$5</definedName>
    <definedName name="PaymentPeriodsAM92" localSheetId="0">'SA85-90'!$C$5</definedName>
    <definedName name="Premium">Data!$I$11</definedName>
    <definedName name="PremiumAM92" localSheetId="0">'SA85-90'!$C$35</definedName>
    <definedName name="PremiumPDF">PDF!$M$34</definedName>
    <definedName name="PresentValueFactor">[1]AM92!$C$12</definedName>
    <definedName name="PresentValueFactorAM92" localSheetId="0">'SA85-90'!$C$12</definedName>
    <definedName name="_xlnm.Print_Area" localSheetId="2">PDF!$F$2:$Q$64</definedName>
    <definedName name="ProposerName">PDF!$H$58</definedName>
    <definedName name="PthlyAnnuityCertain">Data!$F$21</definedName>
    <definedName name="PthlyAnnuityCertainAM92" localSheetId="0">'SA85-90'!$C$24</definedName>
    <definedName name="PthlyDiscountRate">Data!$F$13</definedName>
    <definedName name="PthlyDiscountRateAM92" localSheetId="0">'SA85-90'!$C$20</definedName>
    <definedName name="PthlyFactor">Data!$F$15</definedName>
    <definedName name="PthlyFactorAM92" localSheetId="0">'SA85-90'!$C$25</definedName>
    <definedName name="PthlyPresentValueFactor">[1]AM92!$C$27</definedName>
    <definedName name="PthlyPresentValueFactorAM92" localSheetId="0">'SA85-90'!$C$18</definedName>
    <definedName name="PthlyWholeLifeAnnuityDeferrednYears">Data!$F$20</definedName>
    <definedName name="PthlyWholeLifeAnnuityDeferrednYearsAM92" localSheetId="0">'SA85-90'!$C$23</definedName>
    <definedName name="PVF">Data!$F$11</definedName>
    <definedName name="PVofNthPayment">Data!$F$14</definedName>
    <definedName name="QuarterlyBenefit">Data!$I$19</definedName>
    <definedName name="QuotationDate">PDF!$O$20</definedName>
    <definedName name="QuotationRef">PDF!$J$20</definedName>
    <definedName name="SemiAnnualBenefit">Data!$I$18</definedName>
    <definedName name="TenYearGuarantee">PDF!$L$47</definedName>
    <definedName name="TermNYears">[1]AM92!$C$4</definedName>
    <definedName name="TermNYearsAM92" localSheetId="0">'SA85-90'!$C$4</definedName>
    <definedName name="WholeLifeAnnuity">[1]AM92!#REF!</definedName>
    <definedName name="WholeLifeAnnuityAgeX">Data!$F$22</definedName>
    <definedName name="WholeLifeAnnuityAgeXPlusN">Data!$F$18</definedName>
    <definedName name="WholeLifeAnnuityAgeXPlusNAM92" localSheetId="0">'SA85-90'!$C$17</definedName>
    <definedName name="YearlyAdminExp">'[1]AM92 (New Formula)'!$C$36</definedName>
    <definedName name="YearlyAdminExpAM92" localSheetId="0">'SA85-90'!$C$30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0" l="1"/>
  <c r="C54" i="10" s="1"/>
  <c r="H50" i="10"/>
  <c r="I50" i="10" s="1"/>
  <c r="I51" i="10" s="1"/>
  <c r="I52" i="10" s="1"/>
  <c r="I53" i="10" s="1"/>
  <c r="I54" i="10" s="1"/>
  <c r="I55" i="10" s="1"/>
  <c r="I56" i="10" s="1"/>
  <c r="I57" i="10" s="1"/>
  <c r="I58" i="10" s="1"/>
  <c r="I59" i="10" s="1"/>
  <c r="I62" i="10" s="1"/>
  <c r="F64" i="10"/>
  <c r="F65" i="10" s="1"/>
  <c r="C64" i="10"/>
  <c r="C63" i="10"/>
  <c r="C65" i="10" s="1"/>
  <c r="F53" i="10"/>
  <c r="F54" i="10" s="1"/>
  <c r="E38" i="10"/>
  <c r="E36" i="10"/>
  <c r="E35" i="10"/>
  <c r="E34" i="10"/>
  <c r="B34" i="10"/>
  <c r="B28" i="10"/>
  <c r="E28" i="10" s="1"/>
  <c r="E27" i="10"/>
  <c r="E26" i="10"/>
  <c r="B26" i="10"/>
  <c r="B37" i="10" s="1"/>
  <c r="E37" i="10" s="1"/>
  <c r="E25" i="10"/>
  <c r="E24" i="10"/>
  <c r="E23" i="10"/>
  <c r="B23" i="10"/>
  <c r="F15" i="10"/>
  <c r="F39" i="10" s="1"/>
  <c r="C15" i="10"/>
  <c r="D15" i="10" s="1"/>
  <c r="F37" i="10" s="1"/>
  <c r="F41" i="10" s="1"/>
  <c r="B15" i="10"/>
  <c r="F36" i="10" s="1"/>
  <c r="F14" i="10"/>
  <c r="F28" i="10" s="1"/>
  <c r="C14" i="10"/>
  <c r="D14" i="10" s="1"/>
  <c r="F26" i="10" s="1"/>
  <c r="F30" i="10" s="1"/>
  <c r="B14" i="10"/>
  <c r="F25" i="10" s="1"/>
  <c r="F13" i="10"/>
  <c r="C39" i="10" s="1"/>
  <c r="C13" i="10"/>
  <c r="B13" i="10"/>
  <c r="D13" i="10" s="1"/>
  <c r="C37" i="10" s="1"/>
  <c r="C41" i="10" s="1"/>
  <c r="F12" i="10"/>
  <c r="C28" i="10" s="1"/>
  <c r="C12" i="10"/>
  <c r="B12" i="10"/>
  <c r="C25" i="10" s="1"/>
  <c r="G10" i="10"/>
  <c r="D12" i="10" l="1"/>
  <c r="C26" i="10" s="1"/>
  <c r="C30" i="10" s="1"/>
  <c r="F29" i="10"/>
  <c r="F31" i="10" s="1"/>
  <c r="F40" i="10"/>
  <c r="F42" i="10" s="1"/>
  <c r="B39" i="10"/>
  <c r="E39" i="10" s="1"/>
  <c r="C36" i="10"/>
  <c r="C40" i="10" s="1"/>
  <c r="C42" i="10" s="1"/>
  <c r="H11" i="10"/>
  <c r="H12" i="10" s="1"/>
  <c r="H13" i="10" s="1"/>
  <c r="H14" i="10" s="1"/>
  <c r="H15" i="10" s="1"/>
  <c r="H16" i="10" s="1"/>
  <c r="H17" i="10" s="1"/>
  <c r="H18" i="10" s="1"/>
  <c r="H19" i="10" s="1"/>
  <c r="H20" i="10" s="1"/>
  <c r="C29" i="10" l="1"/>
  <c r="C31" i="10" s="1"/>
  <c r="R105" i="7" l="1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C45" i="7"/>
  <c r="R44" i="7"/>
  <c r="C44" i="7"/>
  <c r="R43" i="7"/>
  <c r="C43" i="7"/>
  <c r="R42" i="7"/>
  <c r="R41" i="7"/>
  <c r="R40" i="7"/>
  <c r="R39" i="7"/>
  <c r="R38" i="7"/>
  <c r="R37" i="7"/>
  <c r="R36" i="7"/>
  <c r="R35" i="7"/>
  <c r="R34" i="7"/>
  <c r="R33" i="7"/>
  <c r="D33" i="7"/>
  <c r="R32" i="7"/>
  <c r="D32" i="7"/>
  <c r="R31" i="7"/>
  <c r="D31" i="7"/>
  <c r="R30" i="7"/>
  <c r="C30" i="7"/>
  <c r="R29" i="7"/>
  <c r="R28" i="7"/>
  <c r="R27" i="7"/>
  <c r="R26" i="7"/>
  <c r="R25" i="7"/>
  <c r="C25" i="7"/>
  <c r="D25" i="7" s="1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C11" i="7"/>
  <c r="C7" i="7"/>
  <c r="U70" i="7" s="1"/>
  <c r="N2" i="7"/>
  <c r="U8" i="7" l="1"/>
  <c r="K3" i="7"/>
  <c r="K100" i="7" s="1"/>
  <c r="U3" i="7"/>
  <c r="C36" i="7"/>
  <c r="U4" i="7"/>
  <c r="U2" i="7"/>
  <c r="U5" i="7"/>
  <c r="U16" i="7"/>
  <c r="U18" i="7"/>
  <c r="U24" i="7"/>
  <c r="U27" i="7"/>
  <c r="U37" i="7"/>
  <c r="U43" i="7"/>
  <c r="U49" i="7"/>
  <c r="U62" i="7"/>
  <c r="U35" i="7"/>
  <c r="U48" i="7"/>
  <c r="U50" i="7"/>
  <c r="U55" i="7"/>
  <c r="U60" i="7"/>
  <c r="U65" i="7"/>
  <c r="U6" i="7"/>
  <c r="U11" i="7"/>
  <c r="U30" i="7"/>
  <c r="U31" i="7"/>
  <c r="U46" i="7"/>
  <c r="U58" i="7"/>
  <c r="U63" i="7"/>
  <c r="U15" i="7"/>
  <c r="U20" i="7"/>
  <c r="U28" i="7"/>
  <c r="U34" i="7"/>
  <c r="U51" i="7"/>
  <c r="U53" i="7"/>
  <c r="U56" i="7"/>
  <c r="K5" i="7"/>
  <c r="K51" i="7"/>
  <c r="K80" i="7"/>
  <c r="K4" i="7"/>
  <c r="K11" i="7"/>
  <c r="K27" i="7"/>
  <c r="K70" i="7"/>
  <c r="K104" i="7"/>
  <c r="K84" i="7"/>
  <c r="K74" i="7"/>
  <c r="K96" i="7"/>
  <c r="K7" i="7"/>
  <c r="K12" i="7"/>
  <c r="K14" i="7"/>
  <c r="K22" i="7"/>
  <c r="K40" i="7"/>
  <c r="K47" i="7"/>
  <c r="K8" i="7"/>
  <c r="K15" i="7"/>
  <c r="K30" i="7"/>
  <c r="K55" i="7"/>
  <c r="K59" i="7"/>
  <c r="U105" i="7"/>
  <c r="U66" i="7"/>
  <c r="U59" i="7"/>
  <c r="U74" i="7"/>
  <c r="U9" i="7"/>
  <c r="U12" i="7"/>
  <c r="U14" i="7"/>
  <c r="K17" i="7"/>
  <c r="U22" i="7"/>
  <c r="U25" i="7"/>
  <c r="U29" i="7"/>
  <c r="U33" i="7"/>
  <c r="K35" i="7"/>
  <c r="K37" i="7"/>
  <c r="U40" i="7"/>
  <c r="U41" i="7"/>
  <c r="U45" i="7"/>
  <c r="U47" i="7"/>
  <c r="U52" i="7"/>
  <c r="U54" i="7"/>
  <c r="U57" i="7"/>
  <c r="U61" i="7"/>
  <c r="K63" i="7"/>
  <c r="K65" i="7"/>
  <c r="U7" i="7"/>
  <c r="M4" i="7"/>
  <c r="M28" i="7"/>
  <c r="M6" i="7"/>
  <c r="M19" i="7"/>
  <c r="M3" i="7"/>
  <c r="O3" i="7" s="1"/>
  <c r="U17" i="7"/>
  <c r="M10" i="7"/>
  <c r="M73" i="7"/>
  <c r="C13" i="7"/>
  <c r="D13" i="7" s="1"/>
  <c r="C20" i="7"/>
  <c r="D20" i="7" s="1"/>
  <c r="C12" i="7"/>
  <c r="M13" i="7"/>
  <c r="M20" i="7"/>
  <c r="M12" i="7"/>
  <c r="M14" i="7"/>
  <c r="M50" i="7"/>
  <c r="M58" i="7"/>
  <c r="M5" i="7"/>
  <c r="K6" i="7"/>
  <c r="M8" i="7"/>
  <c r="K9" i="7"/>
  <c r="U10" i="7"/>
  <c r="M11" i="7"/>
  <c r="U13" i="7"/>
  <c r="M15" i="7"/>
  <c r="K16" i="7"/>
  <c r="M17" i="7"/>
  <c r="K18" i="7"/>
  <c r="U21" i="7"/>
  <c r="K21" i="7"/>
  <c r="M22" i="7"/>
  <c r="U23" i="7"/>
  <c r="K23" i="7"/>
  <c r="M26" i="7"/>
  <c r="U32" i="7"/>
  <c r="K32" i="7"/>
  <c r="M35" i="7"/>
  <c r="U38" i="7"/>
  <c r="U42" i="7"/>
  <c r="M42" i="7"/>
  <c r="U44" i="7"/>
  <c r="M44" i="7"/>
  <c r="M47" i="7"/>
  <c r="M51" i="7"/>
  <c r="M55" i="7"/>
  <c r="M59" i="7"/>
  <c r="M63" i="7"/>
  <c r="U64" i="7"/>
  <c r="M64" i="7"/>
  <c r="M65" i="7"/>
  <c r="U69" i="7"/>
  <c r="M69" i="7"/>
  <c r="U73" i="7"/>
  <c r="K88" i="7"/>
  <c r="M7" i="7"/>
  <c r="M27" i="7"/>
  <c r="M30" i="7"/>
  <c r="M34" i="7"/>
  <c r="M46" i="7"/>
  <c r="M54" i="7"/>
  <c r="M62" i="7"/>
  <c r="K102" i="7"/>
  <c r="K98" i="7"/>
  <c r="K94" i="7"/>
  <c r="K90" i="7"/>
  <c r="K86" i="7"/>
  <c r="K82" i="7"/>
  <c r="K78" i="7"/>
  <c r="K72" i="7"/>
  <c r="K68" i="7"/>
  <c r="K64" i="7"/>
  <c r="K103" i="7"/>
  <c r="K99" i="7"/>
  <c r="K95" i="7"/>
  <c r="K91" i="7"/>
  <c r="K87" i="7"/>
  <c r="K83" i="7"/>
  <c r="K79" i="7"/>
  <c r="K75" i="7"/>
  <c r="K71" i="7"/>
  <c r="K67" i="7"/>
  <c r="K101" i="7"/>
  <c r="K97" i="7"/>
  <c r="K93" i="7"/>
  <c r="K89" i="7"/>
  <c r="K85" i="7"/>
  <c r="K81" i="7"/>
  <c r="K77" i="7"/>
  <c r="K73" i="7"/>
  <c r="K69" i="7"/>
  <c r="K62" i="7"/>
  <c r="K58" i="7"/>
  <c r="K54" i="7"/>
  <c r="K50" i="7"/>
  <c r="K46" i="7"/>
  <c r="K44" i="7"/>
  <c r="K42" i="7"/>
  <c r="K39" i="7"/>
  <c r="K34" i="7"/>
  <c r="K66" i="7"/>
  <c r="K61" i="7"/>
  <c r="K57" i="7"/>
  <c r="K53" i="7"/>
  <c r="K49" i="7"/>
  <c r="K41" i="7"/>
  <c r="K38" i="7"/>
  <c r="K36" i="7"/>
  <c r="K33" i="7"/>
  <c r="K31" i="7"/>
  <c r="K26" i="7"/>
  <c r="K24" i="7"/>
  <c r="K20" i="7"/>
  <c r="M103" i="7"/>
  <c r="U101" i="7"/>
  <c r="M99" i="7"/>
  <c r="U97" i="7"/>
  <c r="M95" i="7"/>
  <c r="U93" i="7"/>
  <c r="M91" i="7"/>
  <c r="U89" i="7"/>
  <c r="M87" i="7"/>
  <c r="U85" i="7"/>
  <c r="M83" i="7"/>
  <c r="U81" i="7"/>
  <c r="M79" i="7"/>
  <c r="U77" i="7"/>
  <c r="M75" i="7"/>
  <c r="M71" i="7"/>
  <c r="M67" i="7"/>
  <c r="M104" i="7"/>
  <c r="M100" i="7"/>
  <c r="M96" i="7"/>
  <c r="M92" i="7"/>
  <c r="M88" i="7"/>
  <c r="M84" i="7"/>
  <c r="M80" i="7"/>
  <c r="M76" i="7"/>
  <c r="M74" i="7"/>
  <c r="M70" i="7"/>
  <c r="M66" i="7"/>
  <c r="M105" i="7"/>
  <c r="M102" i="7"/>
  <c r="U100" i="7"/>
  <c r="M98" i="7"/>
  <c r="U96" i="7"/>
  <c r="M94" i="7"/>
  <c r="U92" i="7"/>
  <c r="M90" i="7"/>
  <c r="U88" i="7"/>
  <c r="M86" i="7"/>
  <c r="U84" i="7"/>
  <c r="M82" i="7"/>
  <c r="U80" i="7"/>
  <c r="M78" i="7"/>
  <c r="U76" i="7"/>
  <c r="M72" i="7"/>
  <c r="M68" i="7"/>
  <c r="M101" i="7"/>
  <c r="M97" i="7"/>
  <c r="M93" i="7"/>
  <c r="M89" i="7"/>
  <c r="M85" i="7"/>
  <c r="M81" i="7"/>
  <c r="M77" i="7"/>
  <c r="M61" i="7"/>
  <c r="M57" i="7"/>
  <c r="M53" i="7"/>
  <c r="M49" i="7"/>
  <c r="M41" i="7"/>
  <c r="M38" i="7"/>
  <c r="M36" i="7"/>
  <c r="M33" i="7"/>
  <c r="M31" i="7"/>
  <c r="U103" i="7"/>
  <c r="U99" i="7"/>
  <c r="U95" i="7"/>
  <c r="U91" i="7"/>
  <c r="U87" i="7"/>
  <c r="U83" i="7"/>
  <c r="U79" i="7"/>
  <c r="U75" i="7"/>
  <c r="U71" i="7"/>
  <c r="U67" i="7"/>
  <c r="M60" i="7"/>
  <c r="M56" i="7"/>
  <c r="M52" i="7"/>
  <c r="M48" i="7"/>
  <c r="M45" i="7"/>
  <c r="M43" i="7"/>
  <c r="M40" i="7"/>
  <c r="M37" i="7"/>
  <c r="M29" i="7"/>
  <c r="M25" i="7"/>
  <c r="M9" i="7"/>
  <c r="K10" i="7"/>
  <c r="K13" i="7"/>
  <c r="M16" i="7"/>
  <c r="M18" i="7"/>
  <c r="U19" i="7"/>
  <c r="K19" i="7"/>
  <c r="M21" i="7"/>
  <c r="M23" i="7"/>
  <c r="M24" i="7"/>
  <c r="K25" i="7"/>
  <c r="U26" i="7"/>
  <c r="K28" i="7"/>
  <c r="K29" i="7"/>
  <c r="M32" i="7"/>
  <c r="U36" i="7"/>
  <c r="U39" i="7"/>
  <c r="M39" i="7"/>
  <c r="K43" i="7"/>
  <c r="K45" i="7"/>
  <c r="K48" i="7"/>
  <c r="K52" i="7"/>
  <c r="K56" i="7"/>
  <c r="K60" i="7"/>
  <c r="K76" i="7"/>
  <c r="K92" i="7"/>
  <c r="U78" i="7"/>
  <c r="U82" i="7"/>
  <c r="U86" i="7"/>
  <c r="U90" i="7"/>
  <c r="U94" i="7"/>
  <c r="U98" i="7"/>
  <c r="U102" i="7"/>
  <c r="U68" i="7"/>
  <c r="U72" i="7"/>
  <c r="U104" i="7"/>
  <c r="C19" i="7" l="1"/>
  <c r="D19" i="7" s="1"/>
  <c r="O4" i="7"/>
  <c r="C18" i="7"/>
  <c r="D12" i="7"/>
  <c r="P2" i="7"/>
  <c r="C24" i="7"/>
  <c r="P3" i="7"/>
  <c r="N3" i="7"/>
  <c r="D18" i="7" l="1"/>
  <c r="N4" i="7"/>
  <c r="P4" i="7"/>
  <c r="O5" i="7"/>
  <c r="D24" i="7"/>
  <c r="W3" i="7"/>
  <c r="R3" i="7"/>
  <c r="Q3" i="7"/>
  <c r="Q2" i="7"/>
  <c r="W2" i="7"/>
  <c r="R2" i="7"/>
  <c r="Q4" i="7" l="1"/>
  <c r="R4" i="7"/>
  <c r="W4" i="7"/>
  <c r="N5" i="7"/>
  <c r="P5" i="7"/>
  <c r="O6" i="7"/>
  <c r="P6" i="7" l="1"/>
  <c r="N6" i="7"/>
  <c r="O7" i="7"/>
  <c r="R5" i="7"/>
  <c r="W5" i="7"/>
  <c r="Q5" i="7"/>
  <c r="Q6" i="7" l="1"/>
  <c r="W6" i="7"/>
  <c r="R6" i="7"/>
  <c r="N7" i="7"/>
  <c r="P7" i="7"/>
  <c r="O8" i="7"/>
  <c r="N8" i="7" l="1"/>
  <c r="P8" i="7"/>
  <c r="O9" i="7"/>
  <c r="R7" i="7"/>
  <c r="Q7" i="7"/>
  <c r="W7" i="7"/>
  <c r="R8" i="7" l="1"/>
  <c r="Q8" i="7"/>
  <c r="W8" i="7"/>
  <c r="P9" i="7"/>
  <c r="N9" i="7"/>
  <c r="O10" i="7"/>
  <c r="Q9" i="7" l="1"/>
  <c r="W9" i="7"/>
  <c r="R9" i="7"/>
  <c r="P10" i="7"/>
  <c r="N10" i="7"/>
  <c r="O11" i="7"/>
  <c r="W10" i="7" l="1"/>
  <c r="R10" i="7"/>
  <c r="Q10" i="7"/>
  <c r="N11" i="7"/>
  <c r="P11" i="7"/>
  <c r="O12" i="7"/>
  <c r="N12" i="7" l="1"/>
  <c r="P12" i="7"/>
  <c r="O13" i="7"/>
  <c r="R11" i="7"/>
  <c r="W11" i="7"/>
  <c r="Q11" i="7"/>
  <c r="P13" i="7" l="1"/>
  <c r="N13" i="7"/>
  <c r="O14" i="7"/>
  <c r="Q12" i="7"/>
  <c r="W12" i="7"/>
  <c r="N14" i="7" l="1"/>
  <c r="P14" i="7"/>
  <c r="O15" i="7"/>
  <c r="W13" i="7"/>
  <c r="Q13" i="7"/>
  <c r="N15" i="7" l="1"/>
  <c r="P15" i="7"/>
  <c r="O16" i="7"/>
  <c r="Q14" i="7"/>
  <c r="W14" i="7"/>
  <c r="P16" i="7" l="1"/>
  <c r="N16" i="7"/>
  <c r="O17" i="7"/>
  <c r="Q15" i="7"/>
  <c r="W15" i="7"/>
  <c r="N17" i="7" l="1"/>
  <c r="P17" i="7"/>
  <c r="O18" i="7"/>
  <c r="Q16" i="7"/>
  <c r="W16" i="7"/>
  <c r="N18" i="7" l="1"/>
  <c r="P18" i="7"/>
  <c r="O19" i="7"/>
  <c r="Q17" i="7"/>
  <c r="W17" i="7"/>
  <c r="P19" i="7" l="1"/>
  <c r="N19" i="7"/>
  <c r="O20" i="7"/>
  <c r="W18" i="7"/>
  <c r="Q18" i="7"/>
  <c r="P20" i="7" l="1"/>
  <c r="N20" i="7"/>
  <c r="O21" i="7"/>
  <c r="Q19" i="7"/>
  <c r="W19" i="7"/>
  <c r="P21" i="7" l="1"/>
  <c r="N21" i="7"/>
  <c r="O22" i="7"/>
  <c r="W20" i="7"/>
  <c r="Q20" i="7"/>
  <c r="N22" i="7" l="1"/>
  <c r="P22" i="7"/>
  <c r="O23" i="7"/>
  <c r="Q21" i="7"/>
  <c r="W21" i="7"/>
  <c r="P23" i="7" l="1"/>
  <c r="N23" i="7"/>
  <c r="O24" i="7"/>
  <c r="Q22" i="7"/>
  <c r="W22" i="7"/>
  <c r="P24" i="7" l="1"/>
  <c r="N24" i="7"/>
  <c r="O25" i="7"/>
  <c r="Q23" i="7"/>
  <c r="W23" i="7"/>
  <c r="P25" i="7" l="1"/>
  <c r="N25" i="7"/>
  <c r="O26" i="7"/>
  <c r="W24" i="7"/>
  <c r="Q24" i="7"/>
  <c r="P26" i="7" l="1"/>
  <c r="N26" i="7"/>
  <c r="O27" i="7"/>
  <c r="Q25" i="7"/>
  <c r="W25" i="7"/>
  <c r="P27" i="7" l="1"/>
  <c r="N27" i="7"/>
  <c r="O28" i="7"/>
  <c r="W26" i="7"/>
  <c r="Q26" i="7"/>
  <c r="N28" i="7" l="1"/>
  <c r="P28" i="7"/>
  <c r="O29" i="7"/>
  <c r="W27" i="7"/>
  <c r="Q27" i="7"/>
  <c r="P29" i="7" l="1"/>
  <c r="N29" i="7"/>
  <c r="O30" i="7"/>
  <c r="Q28" i="7"/>
  <c r="W28" i="7"/>
  <c r="N30" i="7" l="1"/>
  <c r="P30" i="7"/>
  <c r="O31" i="7"/>
  <c r="Q29" i="7"/>
  <c r="W29" i="7"/>
  <c r="P31" i="7" l="1"/>
  <c r="N31" i="7"/>
  <c r="O32" i="7"/>
  <c r="W30" i="7"/>
  <c r="Q30" i="7"/>
  <c r="N32" i="7" l="1"/>
  <c r="P32" i="7"/>
  <c r="O33" i="7"/>
  <c r="Q31" i="7"/>
  <c r="W31" i="7"/>
  <c r="P33" i="7" l="1"/>
  <c r="N33" i="7"/>
  <c r="O34" i="7"/>
  <c r="W32" i="7"/>
  <c r="Q32" i="7"/>
  <c r="P34" i="7" l="1"/>
  <c r="N34" i="7"/>
  <c r="O35" i="7"/>
  <c r="Q33" i="7"/>
  <c r="W33" i="7"/>
  <c r="N35" i="7" l="1"/>
  <c r="P35" i="7"/>
  <c r="O36" i="7"/>
  <c r="W34" i="7"/>
  <c r="Q34" i="7"/>
  <c r="P36" i="7" l="1"/>
  <c r="N36" i="7"/>
  <c r="O37" i="7"/>
  <c r="W35" i="7"/>
  <c r="Q35" i="7"/>
  <c r="N37" i="7" l="1"/>
  <c r="P37" i="7"/>
  <c r="O38" i="7"/>
  <c r="Q36" i="7"/>
  <c r="W36" i="7"/>
  <c r="P38" i="7" l="1"/>
  <c r="N38" i="7"/>
  <c r="O39" i="7"/>
  <c r="Q37" i="7"/>
  <c r="W37" i="7"/>
  <c r="P39" i="7" l="1"/>
  <c r="N39" i="7"/>
  <c r="O40" i="7"/>
  <c r="Q38" i="7"/>
  <c r="W38" i="7"/>
  <c r="N40" i="7" l="1"/>
  <c r="P40" i="7"/>
  <c r="O41" i="7"/>
  <c r="W39" i="7"/>
  <c r="Q39" i="7"/>
  <c r="P41" i="7" l="1"/>
  <c r="N41" i="7"/>
  <c r="O42" i="7"/>
  <c r="Q40" i="7"/>
  <c r="W40" i="7"/>
  <c r="P42" i="7" l="1"/>
  <c r="N42" i="7"/>
  <c r="O43" i="7"/>
  <c r="Q41" i="7"/>
  <c r="W41" i="7"/>
  <c r="N43" i="7" l="1"/>
  <c r="P43" i="7"/>
  <c r="O44" i="7"/>
  <c r="W42" i="7"/>
  <c r="Q42" i="7"/>
  <c r="P44" i="7" l="1"/>
  <c r="N44" i="7"/>
  <c r="O45" i="7"/>
  <c r="Q43" i="7"/>
  <c r="W43" i="7"/>
  <c r="N45" i="7" l="1"/>
  <c r="P45" i="7"/>
  <c r="O46" i="7"/>
  <c r="W44" i="7"/>
  <c r="Q44" i="7"/>
  <c r="P46" i="7" l="1"/>
  <c r="N46" i="7"/>
  <c r="O47" i="7"/>
  <c r="Q45" i="7"/>
  <c r="W45" i="7"/>
  <c r="N47" i="7" l="1"/>
  <c r="P47" i="7"/>
  <c r="O48" i="7"/>
  <c r="W46" i="7"/>
  <c r="Q46" i="7"/>
  <c r="N48" i="7" l="1"/>
  <c r="P48" i="7"/>
  <c r="O49" i="7"/>
  <c r="Q47" i="7"/>
  <c r="W47" i="7"/>
  <c r="P49" i="7" l="1"/>
  <c r="N49" i="7"/>
  <c r="O50" i="7"/>
  <c r="Q48" i="7"/>
  <c r="W48" i="7"/>
  <c r="P50" i="7" l="1"/>
  <c r="N50" i="7"/>
  <c r="O51" i="7"/>
  <c r="Q49" i="7"/>
  <c r="W49" i="7"/>
  <c r="N51" i="7" l="1"/>
  <c r="P51" i="7"/>
  <c r="O52" i="7"/>
  <c r="W50" i="7"/>
  <c r="Q50" i="7"/>
  <c r="N52" i="7" l="1"/>
  <c r="P52" i="7"/>
  <c r="O53" i="7"/>
  <c r="W51" i="7"/>
  <c r="Q51" i="7"/>
  <c r="P53" i="7" l="1"/>
  <c r="N53" i="7"/>
  <c r="O54" i="7"/>
  <c r="Q52" i="7"/>
  <c r="W52" i="7"/>
  <c r="P54" i="7" l="1"/>
  <c r="N54" i="7"/>
  <c r="O55" i="7"/>
  <c r="Q53" i="7"/>
  <c r="W53" i="7"/>
  <c r="N55" i="7" l="1"/>
  <c r="P55" i="7"/>
  <c r="O56" i="7"/>
  <c r="W54" i="7"/>
  <c r="Q54" i="7"/>
  <c r="N56" i="7" l="1"/>
  <c r="P56" i="7"/>
  <c r="O57" i="7"/>
  <c r="Q55" i="7"/>
  <c r="W55" i="7"/>
  <c r="P57" i="7" l="1"/>
  <c r="N57" i="7"/>
  <c r="O58" i="7"/>
  <c r="Q56" i="7"/>
  <c r="W56" i="7"/>
  <c r="P58" i="7" l="1"/>
  <c r="N58" i="7"/>
  <c r="O59" i="7"/>
  <c r="Q57" i="7"/>
  <c r="W57" i="7"/>
  <c r="N59" i="7" l="1"/>
  <c r="P59" i="7"/>
  <c r="O60" i="7"/>
  <c r="W58" i="7"/>
  <c r="Q58" i="7"/>
  <c r="N60" i="7" l="1"/>
  <c r="P60" i="7"/>
  <c r="O61" i="7"/>
  <c r="Q59" i="7"/>
  <c r="W59" i="7"/>
  <c r="P61" i="7" l="1"/>
  <c r="N61" i="7"/>
  <c r="O62" i="7"/>
  <c r="Q60" i="7"/>
  <c r="W60" i="7"/>
  <c r="P62" i="7" l="1"/>
  <c r="N62" i="7"/>
  <c r="O63" i="7"/>
  <c r="Q61" i="7"/>
  <c r="W61" i="7"/>
  <c r="N63" i="7" l="1"/>
  <c r="P63" i="7"/>
  <c r="O64" i="7"/>
  <c r="W62" i="7"/>
  <c r="Q62" i="7"/>
  <c r="P64" i="7" l="1"/>
  <c r="N64" i="7"/>
  <c r="O65" i="7"/>
  <c r="W63" i="7"/>
  <c r="Q63" i="7"/>
  <c r="N65" i="7" l="1"/>
  <c r="P65" i="7"/>
  <c r="O66" i="7"/>
  <c r="W64" i="7"/>
  <c r="Q64" i="7"/>
  <c r="N66" i="7" l="1"/>
  <c r="P66" i="7"/>
  <c r="O67" i="7"/>
  <c r="Q65" i="7"/>
  <c r="W65" i="7"/>
  <c r="P67" i="7" l="1"/>
  <c r="N67" i="7"/>
  <c r="O68" i="7"/>
  <c r="Q66" i="7"/>
  <c r="W66" i="7"/>
  <c r="P68" i="7" l="1"/>
  <c r="N68" i="7"/>
  <c r="O69" i="7"/>
  <c r="Q67" i="7"/>
  <c r="W67" i="7"/>
  <c r="N69" i="7" l="1"/>
  <c r="P69" i="7"/>
  <c r="O70" i="7"/>
  <c r="W68" i="7"/>
  <c r="Q68" i="7"/>
  <c r="N70" i="7" l="1"/>
  <c r="P70" i="7"/>
  <c r="O71" i="7"/>
  <c r="W69" i="7"/>
  <c r="Q69" i="7"/>
  <c r="P71" i="7" l="1"/>
  <c r="N71" i="7"/>
  <c r="O72" i="7"/>
  <c r="Q70" i="7"/>
  <c r="W70" i="7"/>
  <c r="P72" i="7" l="1"/>
  <c r="N72" i="7"/>
  <c r="O73" i="7"/>
  <c r="Q71" i="7"/>
  <c r="W71" i="7"/>
  <c r="N73" i="7" l="1"/>
  <c r="P73" i="7"/>
  <c r="O74" i="7"/>
  <c r="W72" i="7"/>
  <c r="Q72" i="7"/>
  <c r="N74" i="7" l="1"/>
  <c r="P74" i="7"/>
  <c r="O75" i="7"/>
  <c r="W73" i="7"/>
  <c r="Q73" i="7"/>
  <c r="P75" i="7" l="1"/>
  <c r="N75" i="7"/>
  <c r="O76" i="7"/>
  <c r="Q74" i="7"/>
  <c r="W74" i="7"/>
  <c r="N76" i="7" l="1"/>
  <c r="P76" i="7"/>
  <c r="O77" i="7"/>
  <c r="Q75" i="7"/>
  <c r="W75" i="7"/>
  <c r="N77" i="7" l="1"/>
  <c r="P77" i="7"/>
  <c r="O78" i="7"/>
  <c r="Q76" i="7"/>
  <c r="W76" i="7"/>
  <c r="P78" i="7" l="1"/>
  <c r="N78" i="7"/>
  <c r="O79" i="7"/>
  <c r="W77" i="7"/>
  <c r="Q77" i="7"/>
  <c r="P79" i="7" l="1"/>
  <c r="N79" i="7"/>
  <c r="O80" i="7"/>
  <c r="W78" i="7"/>
  <c r="Q78" i="7"/>
  <c r="N80" i="7" l="1"/>
  <c r="P80" i="7"/>
  <c r="O81" i="7"/>
  <c r="Q79" i="7"/>
  <c r="W79" i="7"/>
  <c r="N81" i="7" l="1"/>
  <c r="P81" i="7"/>
  <c r="O82" i="7"/>
  <c r="Q80" i="7"/>
  <c r="W80" i="7"/>
  <c r="W81" i="7" l="1"/>
  <c r="Q81" i="7"/>
  <c r="P82" i="7"/>
  <c r="N82" i="7"/>
  <c r="O83" i="7"/>
  <c r="W82" i="7" l="1"/>
  <c r="Q82" i="7"/>
  <c r="P83" i="7"/>
  <c r="N83" i="7"/>
  <c r="O84" i="7"/>
  <c r="Q83" i="7" l="1"/>
  <c r="W83" i="7"/>
  <c r="N84" i="7"/>
  <c r="P84" i="7"/>
  <c r="O85" i="7"/>
  <c r="Q84" i="7" l="1"/>
  <c r="W84" i="7"/>
  <c r="N85" i="7"/>
  <c r="P85" i="7"/>
  <c r="O86" i="7"/>
  <c r="W85" i="7" l="1"/>
  <c r="Q85" i="7"/>
  <c r="P86" i="7"/>
  <c r="N86" i="7"/>
  <c r="O87" i="7"/>
  <c r="W86" i="7" l="1"/>
  <c r="Q86" i="7"/>
  <c r="P87" i="7"/>
  <c r="N87" i="7"/>
  <c r="O88" i="7"/>
  <c r="Q87" i="7" l="1"/>
  <c r="W87" i="7"/>
  <c r="N88" i="7"/>
  <c r="P88" i="7"/>
  <c r="O89" i="7"/>
  <c r="Q88" i="7" l="1"/>
  <c r="W88" i="7"/>
  <c r="N89" i="7"/>
  <c r="P89" i="7"/>
  <c r="O90" i="7"/>
  <c r="W89" i="7" l="1"/>
  <c r="Q89" i="7"/>
  <c r="P90" i="7"/>
  <c r="N90" i="7"/>
  <c r="O91" i="7"/>
  <c r="W90" i="7" l="1"/>
  <c r="Q90" i="7"/>
  <c r="P91" i="7"/>
  <c r="N91" i="7"/>
  <c r="O92" i="7"/>
  <c r="Q91" i="7" l="1"/>
  <c r="W91" i="7"/>
  <c r="N92" i="7"/>
  <c r="P92" i="7"/>
  <c r="O93" i="7"/>
  <c r="Q92" i="7" l="1"/>
  <c r="W92" i="7"/>
  <c r="N93" i="7"/>
  <c r="P93" i="7"/>
  <c r="O94" i="7"/>
  <c r="W93" i="7" l="1"/>
  <c r="Q93" i="7"/>
  <c r="P94" i="7"/>
  <c r="N94" i="7"/>
  <c r="O95" i="7"/>
  <c r="W94" i="7" l="1"/>
  <c r="Q94" i="7"/>
  <c r="P95" i="7"/>
  <c r="N95" i="7"/>
  <c r="O96" i="7"/>
  <c r="Q95" i="7" l="1"/>
  <c r="W95" i="7"/>
  <c r="N96" i="7"/>
  <c r="P96" i="7"/>
  <c r="O97" i="7"/>
  <c r="Q96" i="7" l="1"/>
  <c r="W96" i="7"/>
  <c r="N97" i="7"/>
  <c r="P97" i="7"/>
  <c r="O98" i="7"/>
  <c r="W97" i="7" l="1"/>
  <c r="Q97" i="7"/>
  <c r="P98" i="7"/>
  <c r="N98" i="7"/>
  <c r="O99" i="7"/>
  <c r="W98" i="7" l="1"/>
  <c r="Q98" i="7"/>
  <c r="P99" i="7"/>
  <c r="N99" i="7"/>
  <c r="O100" i="7"/>
  <c r="Q99" i="7" l="1"/>
  <c r="W99" i="7"/>
  <c r="N100" i="7"/>
  <c r="P100" i="7"/>
  <c r="O101" i="7"/>
  <c r="Q100" i="7" l="1"/>
  <c r="W100" i="7"/>
  <c r="N101" i="7"/>
  <c r="P101" i="7"/>
  <c r="O102" i="7"/>
  <c r="W101" i="7" l="1"/>
  <c r="Q101" i="7"/>
  <c r="P102" i="7"/>
  <c r="N102" i="7"/>
  <c r="O103" i="7"/>
  <c r="W102" i="7" l="1"/>
  <c r="Q102" i="7"/>
  <c r="P103" i="7"/>
  <c r="N103" i="7"/>
  <c r="O104" i="7"/>
  <c r="Q103" i="7" l="1"/>
  <c r="W103" i="7"/>
  <c r="N104" i="7"/>
  <c r="P104" i="7"/>
  <c r="O105" i="7"/>
  <c r="Q104" i="7" l="1"/>
  <c r="W104" i="7"/>
  <c r="P105" i="7"/>
  <c r="N105" i="7"/>
  <c r="W105" i="7" l="1"/>
  <c r="D30" i="7" s="1"/>
  <c r="Q105" i="7"/>
  <c r="C17" i="7" s="1"/>
  <c r="D17" i="7" l="1"/>
  <c r="C23" i="7"/>
  <c r="D23" i="7" l="1"/>
  <c r="C37" i="7"/>
  <c r="D37" i="7" l="1"/>
  <c r="C40" i="7"/>
  <c r="C46" i="7" s="1"/>
</calcChain>
</file>

<file path=xl/sharedStrings.xml><?xml version="1.0" encoding="utf-8"?>
<sst xmlns="http://schemas.openxmlformats.org/spreadsheetml/2006/main" count="1184" uniqueCount="227">
  <si>
    <r>
      <t xml:space="preserve">Age </t>
    </r>
    <r>
      <rPr>
        <i/>
        <sz val="10"/>
        <rFont val="Arial"/>
        <family val="2"/>
      </rPr>
      <t>x</t>
    </r>
  </si>
  <si>
    <t>Age x</t>
  </si>
  <si>
    <t>p[x]</t>
  </si>
  <si>
    <t>p[x-1]+1</t>
  </si>
  <si>
    <t>px</t>
  </si>
  <si>
    <t>Age(x)</t>
  </si>
  <si>
    <t>Count(j)</t>
  </si>
  <si>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>P</t>
    </r>
    <r>
      <rPr>
        <b/>
        <vertAlign val="subscript"/>
        <sz val="10"/>
        <rFont val="Arial"/>
        <family val="2"/>
      </rPr>
      <t>x+n</t>
    </r>
  </si>
  <si>
    <r>
      <rPr>
        <b/>
        <vertAlign val="subscript"/>
        <sz val="10"/>
        <rFont val="Arial"/>
        <family val="2"/>
      </rPr>
      <t>j</t>
    </r>
    <r>
      <rPr>
        <b/>
        <sz val="10"/>
        <rFont val="Arial"/>
        <family val="2"/>
      </rPr>
      <t>P</t>
    </r>
    <r>
      <rPr>
        <b/>
        <vertAlign val="subscript"/>
        <sz val="10"/>
        <rFont val="Arial"/>
        <family val="2"/>
      </rPr>
      <t>x</t>
    </r>
  </si>
  <si>
    <r>
      <t>V</t>
    </r>
    <r>
      <rPr>
        <b/>
        <vertAlign val="superscript"/>
        <sz val="10"/>
        <rFont val="Arial"/>
        <family val="2"/>
      </rPr>
      <t>j</t>
    </r>
  </si>
  <si>
    <t>a..x</t>
  </si>
  <si>
    <t>a..n]</t>
  </si>
  <si>
    <r>
      <t>P</t>
    </r>
    <r>
      <rPr>
        <b/>
        <vertAlign val="subscript"/>
        <sz val="10"/>
        <rFont val="Arial"/>
        <family val="2"/>
      </rPr>
      <t>x</t>
    </r>
  </si>
  <si>
    <t xml:space="preserve">Administrative Expense </t>
  </si>
  <si>
    <t>Age (x)</t>
  </si>
  <si>
    <t>Guaranteed Term (n)</t>
  </si>
  <si>
    <t>Pthly Payment Periods (p)</t>
  </si>
  <si>
    <t>Deffered starting age(x+n)</t>
  </si>
  <si>
    <t xml:space="preserve">Discounting </t>
  </si>
  <si>
    <t>i(%)</t>
  </si>
  <si>
    <t>i</t>
  </si>
  <si>
    <t>v</t>
  </si>
  <si>
    <t>d</t>
  </si>
  <si>
    <t xml:space="preserve">Annuity Benefit Calculation </t>
  </si>
  <si>
    <t>a..x+n</t>
  </si>
  <si>
    <t>v^n</t>
  </si>
  <si>
    <t>npx</t>
  </si>
  <si>
    <t>d(p)</t>
  </si>
  <si>
    <t>n|a..x(p)</t>
  </si>
  <si>
    <t>a..n](p)</t>
  </si>
  <si>
    <t>P</t>
  </si>
  <si>
    <t>Benefit</t>
  </si>
  <si>
    <t>Expenses</t>
  </si>
  <si>
    <t>Administrative Expense</t>
  </si>
  <si>
    <t>Initial Expense</t>
  </si>
  <si>
    <t>Commission</t>
  </si>
  <si>
    <t>Underwriting Expense</t>
  </si>
  <si>
    <t xml:space="preserve">Premium </t>
  </si>
  <si>
    <t>EPV Expense</t>
  </si>
  <si>
    <t>a..x:n]--(p)</t>
  </si>
  <si>
    <t>Benefit Payable</t>
  </si>
  <si>
    <t>Annual</t>
  </si>
  <si>
    <t xml:space="preserve">Semi Annual </t>
  </si>
  <si>
    <t xml:space="preserve">Quarterly </t>
  </si>
  <si>
    <t xml:space="preserve">Monthly </t>
  </si>
  <si>
    <t>Age Next Birthday (x)</t>
  </si>
  <si>
    <t xml:space="preserve">Interest &amp; Discounting </t>
  </si>
  <si>
    <t xml:space="preserve">Annuity </t>
  </si>
  <si>
    <t>Benefit Calculation</t>
  </si>
  <si>
    <t>Interest Rate(%)</t>
  </si>
  <si>
    <t xml:space="preserve">Name </t>
  </si>
  <si>
    <t>Deferred Age(x+n)</t>
  </si>
  <si>
    <t xml:space="preserve">Semi-Annual </t>
  </si>
  <si>
    <t>Quotation Reference:</t>
  </si>
  <si>
    <t>Annuity Type</t>
  </si>
  <si>
    <t>:</t>
  </si>
  <si>
    <t>Annuity Details</t>
  </si>
  <si>
    <t>Name Of Proposer</t>
  </si>
  <si>
    <t>Date Of Birth</t>
  </si>
  <si>
    <t>Age Next Birthday</t>
  </si>
  <si>
    <t xml:space="preserve">Gender </t>
  </si>
  <si>
    <t>Purchase Amount (Mwk)</t>
  </si>
  <si>
    <t xml:space="preserve">Selected Payment Frequency </t>
  </si>
  <si>
    <t xml:space="preserve">Option 1 </t>
  </si>
  <si>
    <t>Option 2</t>
  </si>
  <si>
    <t>5 Years Guarantee</t>
  </si>
  <si>
    <t>10 Years Guarantee</t>
  </si>
  <si>
    <t xml:space="preserve">Quotation Details </t>
  </si>
  <si>
    <t>Quotation Date:</t>
  </si>
  <si>
    <t xml:space="preserve">Acceptance Of Terms </t>
  </si>
  <si>
    <t>Proposer</t>
  </si>
  <si>
    <t>Date</t>
  </si>
  <si>
    <t>Intermediary</t>
  </si>
  <si>
    <t>Male</t>
  </si>
  <si>
    <t>Monthly</t>
  </si>
  <si>
    <t>Quotation Date</t>
  </si>
  <si>
    <t>Payment Frequency</t>
  </si>
  <si>
    <t>Five Year Guarantee (Mwk)</t>
  </si>
  <si>
    <t>Ten Year Guarantee (Mwk)</t>
  </si>
  <si>
    <t>Female</t>
  </si>
  <si>
    <t xml:space="preserve">Level Guaranteed in Advance </t>
  </si>
  <si>
    <t>Basis To Be Review Quarterly</t>
  </si>
  <si>
    <t xml:space="preserve">Payment Frequency </t>
  </si>
  <si>
    <t>0.14/0.003/0.015/0.03</t>
  </si>
  <si>
    <t>Basis (IR/AE/IR/C)</t>
  </si>
  <si>
    <t>Due date for payment to UNIMA LIFE</t>
  </si>
  <si>
    <t>Year</t>
  </si>
  <si>
    <t xml:space="preserve">Revenue </t>
  </si>
  <si>
    <t>Premium</t>
  </si>
  <si>
    <t xml:space="preserve">Benefit Payout </t>
  </si>
  <si>
    <t xml:space="preserve">Interest </t>
  </si>
  <si>
    <t xml:space="preserve">Investment Income @16% </t>
  </si>
  <si>
    <t>Profit</t>
  </si>
  <si>
    <t>Aarav Cordova</t>
  </si>
  <si>
    <t>Addie Dickerson</t>
  </si>
  <si>
    <t>Aimee Barron</t>
  </si>
  <si>
    <t>Alfred Bonner</t>
  </si>
  <si>
    <t>George Morgan64</t>
  </si>
  <si>
    <t>Jonathan Patel24</t>
  </si>
  <si>
    <t>Stevie Abbott64</t>
  </si>
  <si>
    <t>Yuvraj Lambert24</t>
  </si>
  <si>
    <t>Aarav Cordova56</t>
  </si>
  <si>
    <t>Aimee Barron21</t>
  </si>
  <si>
    <t>Addie Dickerson56</t>
  </si>
  <si>
    <t>Alfred Bonner21</t>
  </si>
  <si>
    <t>Profit Gross Tax</t>
  </si>
  <si>
    <t>Profit Net Tax</t>
  </si>
  <si>
    <t>Tax @30%</t>
  </si>
  <si>
    <t xml:space="preserve">John Doe </t>
  </si>
  <si>
    <t>Khuluma Zebron</t>
  </si>
  <si>
    <t>Semi-Annual</t>
  </si>
  <si>
    <t xml:space="preserve">Gerald Mathiya </t>
  </si>
  <si>
    <t>Quarterly</t>
  </si>
  <si>
    <t>Donnex Beyamu</t>
  </si>
  <si>
    <t>Temwa Chimphepo</t>
  </si>
  <si>
    <t>Alicia Waller</t>
  </si>
  <si>
    <t xml:space="preserve">Annual </t>
  </si>
  <si>
    <t>Millward Maliyoni</t>
  </si>
  <si>
    <t>Alysha Mahoney</t>
  </si>
  <si>
    <t xml:space="preserve">Nelson Dzupire </t>
  </si>
  <si>
    <t>Aminah Morrison</t>
  </si>
  <si>
    <t>April Cardenas</t>
  </si>
  <si>
    <t>Asad Beltran</t>
  </si>
  <si>
    <t>Ashley Bonilla</t>
  </si>
  <si>
    <t>Ashton Hendricks</t>
  </si>
  <si>
    <t>Ben Miles</t>
  </si>
  <si>
    <t>Bibi Manning</t>
  </si>
  <si>
    <t>Brooklyn Stanley</t>
  </si>
  <si>
    <t>Calvin Yang</t>
  </si>
  <si>
    <t>Cassius Chaney</t>
  </si>
  <si>
    <t>Claude Noble</t>
  </si>
  <si>
    <t>Constance Knox</t>
  </si>
  <si>
    <t>Cyrus Rangel</t>
  </si>
  <si>
    <t>Dale Hardy</t>
  </si>
  <si>
    <t>Demi Walker</t>
  </si>
  <si>
    <t>Dexter Finch</t>
  </si>
  <si>
    <t>Eleanor Brown</t>
  </si>
  <si>
    <t>Elias Barry</t>
  </si>
  <si>
    <t>Ellie-May Keith</t>
  </si>
  <si>
    <t>Emilia Young</t>
  </si>
  <si>
    <t>Everly Pollard</t>
  </si>
  <si>
    <t>Ewan Summers</t>
  </si>
  <si>
    <t>Faye Newton</t>
  </si>
  <si>
    <t>Frazer Russo</t>
  </si>
  <si>
    <t>Georgina Morgan</t>
  </si>
  <si>
    <t>Grayson Hancock</t>
  </si>
  <si>
    <t>Greta Larsen</t>
  </si>
  <si>
    <t>Halima Russell</t>
  </si>
  <si>
    <t>Hayden Rhodes</t>
  </si>
  <si>
    <t>Heidi Donaldson</t>
  </si>
  <si>
    <t>Idris Neal</t>
  </si>
  <si>
    <t>Isobelle Serrano</t>
  </si>
  <si>
    <t>Jada Thomson</t>
  </si>
  <si>
    <t>Jennie Chavez</t>
  </si>
  <si>
    <t>John Mccarthy</t>
  </si>
  <si>
    <t>Johnathan Gibbs</t>
  </si>
  <si>
    <t>Jonah Valencia</t>
  </si>
  <si>
    <t>Jonathan Patel</t>
  </si>
  <si>
    <t>Juan Hughes</t>
  </si>
  <si>
    <t>Judith Mclean</t>
  </si>
  <si>
    <t>Kate Craig</t>
  </si>
  <si>
    <t>Kathryn Farrell</t>
  </si>
  <si>
    <t>Katy Hale</t>
  </si>
  <si>
    <t>Kenneth Higgins</t>
  </si>
  <si>
    <t>Kieran Mcclure</t>
  </si>
  <si>
    <t>Kiran Norman</t>
  </si>
  <si>
    <t>Kyla Roberson</t>
  </si>
  <si>
    <t>Lennon Watkins</t>
  </si>
  <si>
    <t>Leonie Farmer</t>
  </si>
  <si>
    <t>Levi Morris</t>
  </si>
  <si>
    <t>Liana Cantrell</t>
  </si>
  <si>
    <t>Lillian Mcdowell</t>
  </si>
  <si>
    <t>Luqman Jefferson</t>
  </si>
  <si>
    <t>Luther Roth</t>
  </si>
  <si>
    <t>Mahir Turner</t>
  </si>
  <si>
    <t>Maia Chambers</t>
  </si>
  <si>
    <t>Malakai Larson</t>
  </si>
  <si>
    <t>Marco Riddle</t>
  </si>
  <si>
    <t>Mariah Frazier</t>
  </si>
  <si>
    <t>Marilyn Cameron</t>
  </si>
  <si>
    <t>Marnie Pearce</t>
  </si>
  <si>
    <t>Mikayla Barron</t>
  </si>
  <si>
    <t>Mina Logan</t>
  </si>
  <si>
    <t>Natalia Gould</t>
  </si>
  <si>
    <t>Nathaniel Shelton</t>
  </si>
  <si>
    <t>Nicholas Burns</t>
  </si>
  <si>
    <t>Nicolas Gillespie</t>
  </si>
  <si>
    <t>Noor Sims</t>
  </si>
  <si>
    <t>Oliwier Pittman</t>
  </si>
  <si>
    <t>Pedro Nolan</t>
  </si>
  <si>
    <t>Phyllis Burke</t>
  </si>
  <si>
    <t>Rafferty Vance</t>
  </si>
  <si>
    <t>Reuben Harrison</t>
  </si>
  <si>
    <t>Rhys Barker</t>
  </si>
  <si>
    <t>Ricardo O'Neill</t>
  </si>
  <si>
    <t>Roy Mays</t>
  </si>
  <si>
    <t>Rufus Carrillo</t>
  </si>
  <si>
    <t>Safa Randolph</t>
  </si>
  <si>
    <t>Safiya Pacheco</t>
  </si>
  <si>
    <t>Sandra Stewart</t>
  </si>
  <si>
    <t>Saul Hardin</t>
  </si>
  <si>
    <t>Serena Barnett</t>
  </si>
  <si>
    <t>Simeon Parsons</t>
  </si>
  <si>
    <t>Soraya Reynolds</t>
  </si>
  <si>
    <t>Stevie Abbott</t>
  </si>
  <si>
    <t>Sufyan Webb</t>
  </si>
  <si>
    <t>Sumaiya Aguilar</t>
  </si>
  <si>
    <t>Summer Adams</t>
  </si>
  <si>
    <t>Valentina Mcdonald</t>
  </si>
  <si>
    <t>Yuvraj Lambert</t>
  </si>
  <si>
    <t>Zahraa Torres</t>
  </si>
  <si>
    <t>Zarah Oconnell</t>
  </si>
  <si>
    <t>Zayn Mcgrath</t>
  </si>
  <si>
    <t>Zeeshan Raymond</t>
  </si>
  <si>
    <t>Ellie-may Keith</t>
  </si>
  <si>
    <t>Ricardo O'neill</t>
  </si>
  <si>
    <t>John Doe</t>
  </si>
  <si>
    <t>Khulum</t>
  </si>
  <si>
    <t>K.K/UNIMA LIFE</t>
  </si>
  <si>
    <t>John</t>
  </si>
  <si>
    <t>Khulu</t>
  </si>
  <si>
    <t>J</t>
  </si>
  <si>
    <t>Kkjj</t>
  </si>
  <si>
    <t>0.16/0.003/0.015/0.03</t>
  </si>
  <si>
    <t>Jj</t>
  </si>
  <si>
    <t>Kkjkk</t>
  </si>
  <si>
    <t>0.16/0.005/0.015/0.04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</si>
</sst>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"/>
    <numFmt numFmtId="165" formatCode="_(* #,##0.0000000_);_(* \(#,##0.0000000\);_(* &quot;-&quot;??_);_(@_)"/>
    <numFmt numFmtId="166" formatCode="_(* #,##0.00000_);_(* \(#,##0.00000\);_(* &quot;-&quot;??_);_(@_)"/>
    <numFmt numFmtId="167" formatCode="_(* #,##0.0000000_);_(* \(#,##0.0000000\);_(* &quot;-&quot;???_);_(@_)"/>
    <numFmt numFmtId="168" formatCode="0E+00"/>
    <numFmt numFmtId="169" formatCode="_(* #,##0.000_);_(* \(#,##0.000\);_(* &quot;-&quot;???_);_(@_)"/>
    <numFmt numFmtId="170" formatCode="_(* #,##0.00000000_);_(* \(#,##0.00000000\);_(* &quot;-&quot;??_);_(@_)"/>
    <numFmt numFmtId="171" formatCode="0.0%"/>
    <numFmt numFmtId="172" formatCode="0.000"/>
    <numFmt numFmtId="173" formatCode="_(* #,##0.000000_);_(* \(#,##0.000000\);_(* &quot;-&quot;??_);_(@_)"/>
    <numFmt numFmtId="174" formatCode="_(* #,##0.000000000000000_);_(* \(#,##0.000000000000000\);_(* &quot;-&quot;??_);_(@_)"/>
    <numFmt numFmtId="175" formatCode="0.0000000"/>
    <numFmt numFmtId="176" formatCode="0.000000000"/>
    <numFmt numFmtId="177" formatCode="0.0000000000000"/>
    <numFmt numFmtId="178" formatCode="#,##0.00??"/>
    <numFmt numFmtId="179" formatCode="#,##0.000000"/>
    <numFmt numFmtId="180" formatCode="[$-2409]mmmm\ dd\,\ yyyy;@"/>
    <numFmt numFmtId="181" formatCode="mm/dd/yyyy;@"/>
    <numFmt numFmtId="182" formatCode="0.00000000000000"/>
    <numFmt numFmtId="183" formatCode="0.000000000000000"/>
    <numFmt numFmtId="184" formatCode="[$-409]mmmm\ d\,\ yyyy;@"/>
    <numFmt numFmtId="185" formatCode="_(* #,##0_);_(* \(#,##0\);_(* &quot;-&quot;??_);_(@_)"/>
  </numFmts>
  <fonts count="13" x14ac:knownFonts="1"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9"/>
      <color rgb="FF141414"/>
      <name val="Segoe UI"/>
      <family val="2"/>
    </font>
    <font>
      <b/>
      <sz val="10"/>
      <color theme="1"/>
      <name val="Arial"/>
      <family val="2"/>
    </font>
    <font>
      <sz val="13"/>
      <name val="Arial"/>
      <family val="2"/>
    </font>
    <font>
      <b/>
      <sz val="13"/>
      <color theme="8" tint="-0.499984740745262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b/>
      <sz val="15"/>
      <color theme="4" tint="-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0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center"/>
    </xf>
    <xf numFmtId="164" fontId="3" fillId="3" borderId="1" xfId="0" applyNumberFormat="1" applyFont="1" applyFill="1" applyBorder="1"/>
    <xf numFmtId="164" fontId="3" fillId="3" borderId="2" xfId="0" applyNumberFormat="1" applyFont="1" applyFill="1" applyBorder="1"/>
    <xf numFmtId="164" fontId="3" fillId="3" borderId="2" xfId="0" applyNumberFormat="1" applyFont="1" applyFill="1" applyBorder="1" applyAlignment="1">
      <alignment horizontal="center"/>
    </xf>
    <xf numFmtId="165" fontId="3" fillId="3" borderId="2" xfId="1" applyNumberFormat="1" applyFont="1" applyFill="1" applyBorder="1" applyAlignment="1">
      <alignment horizontal="center"/>
    </xf>
    <xf numFmtId="165" fontId="3" fillId="3" borderId="3" xfId="1" applyNumberFormat="1" applyFont="1" applyFill="1" applyBorder="1" applyAlignment="1"/>
    <xf numFmtId="166" fontId="3" fillId="3" borderId="0" xfId="1" applyNumberFormat="1" applyFont="1" applyFill="1" applyBorder="1" applyAlignment="1"/>
    <xf numFmtId="164" fontId="3" fillId="3" borderId="0" xfId="0" applyNumberFormat="1" applyFont="1" applyFill="1"/>
    <xf numFmtId="164" fontId="3" fillId="4" borderId="4" xfId="0" applyNumberFormat="1" applyFont="1" applyFill="1" applyBorder="1"/>
    <xf numFmtId="164" fontId="3" fillId="4" borderId="5" xfId="0" applyNumberFormat="1" applyFont="1" applyFill="1" applyBorder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5" borderId="0" xfId="0" applyFill="1"/>
    <xf numFmtId="0" fontId="3" fillId="0" borderId="0" xfId="0" applyFont="1"/>
    <xf numFmtId="167" fontId="0" fillId="5" borderId="0" xfId="0" applyNumberFormat="1" applyFill="1"/>
    <xf numFmtId="168" fontId="0" fillId="0" borderId="0" xfId="0" applyNumberFormat="1"/>
    <xf numFmtId="169" fontId="0" fillId="0" borderId="0" xfId="0" applyNumberFormat="1"/>
    <xf numFmtId="170" fontId="3" fillId="0" borderId="0" xfId="0" applyNumberFormat="1" applyFont="1"/>
    <xf numFmtId="0" fontId="3" fillId="5" borderId="0" xfId="0" applyFont="1" applyFill="1"/>
    <xf numFmtId="170" fontId="3" fillId="5" borderId="0" xfId="0" applyNumberFormat="1" applyFont="1" applyFill="1"/>
    <xf numFmtId="165" fontId="3" fillId="5" borderId="0" xfId="1" applyNumberFormat="1" applyFont="1" applyFill="1"/>
    <xf numFmtId="0" fontId="0" fillId="0" borderId="0" xfId="1" applyNumberFormat="1" applyFont="1"/>
    <xf numFmtId="43" fontId="0" fillId="0" borderId="0" xfId="1" applyFont="1"/>
    <xf numFmtId="171" fontId="0" fillId="0" borderId="0" xfId="2" applyNumberFormat="1" applyFont="1"/>
    <xf numFmtId="43" fontId="0" fillId="0" borderId="0" xfId="0" applyNumberFormat="1"/>
    <xf numFmtId="1" fontId="0" fillId="0" borderId="0" xfId="0" applyNumberFormat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173" fontId="0" fillId="0" borderId="0" xfId="1" applyNumberFormat="1" applyFont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3" fillId="5" borderId="6" xfId="1" applyNumberFormat="1" applyFont="1" applyFill="1" applyBorder="1"/>
    <xf numFmtId="14" fontId="0" fillId="0" borderId="0" xfId="0" applyNumberFormat="1"/>
    <xf numFmtId="14" fontId="6" fillId="0" borderId="0" xfId="0" applyNumberFormat="1" applyFont="1"/>
    <xf numFmtId="174" fontId="0" fillId="0" borderId="0" xfId="0" applyNumberFormat="1"/>
    <xf numFmtId="0" fontId="0" fillId="2" borderId="10" xfId="0" applyFill="1" applyBorder="1" applyAlignment="1">
      <alignment horizontal="center"/>
    </xf>
    <xf numFmtId="175" fontId="0" fillId="0" borderId="0" xfId="0" applyNumberFormat="1"/>
    <xf numFmtId="165" fontId="0" fillId="5" borderId="0" xfId="1" applyNumberFormat="1" applyFont="1" applyFill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2" fontId="0" fillId="0" borderId="0" xfId="0" applyNumberFormat="1"/>
    <xf numFmtId="170" fontId="0" fillId="0" borderId="0" xfId="0" applyNumberFormat="1" applyAlignment="1">
      <alignment horizontal="center"/>
    </xf>
    <xf numFmtId="179" fontId="3" fillId="0" borderId="0" xfId="0" applyNumberFormat="1" applyFont="1"/>
    <xf numFmtId="179" fontId="0" fillId="0" borderId="0" xfId="0" applyNumberFormat="1"/>
    <xf numFmtId="171" fontId="0" fillId="0" borderId="5" xfId="2" applyNumberFormat="1" applyFont="1" applyBorder="1"/>
    <xf numFmtId="171" fontId="0" fillId="0" borderId="7" xfId="0" applyNumberFormat="1" applyBorder="1"/>
    <xf numFmtId="171" fontId="0" fillId="0" borderId="7" xfId="2" applyNumberFormat="1" applyFont="1" applyBorder="1"/>
    <xf numFmtId="171" fontId="0" fillId="0" borderId="9" xfId="2" applyNumberFormat="1" applyFont="1" applyBorder="1"/>
    <xf numFmtId="171" fontId="0" fillId="0" borderId="0" xfId="0" applyNumberFormat="1"/>
    <xf numFmtId="4" fontId="0" fillId="0" borderId="0" xfId="0" applyNumberFormat="1"/>
    <xf numFmtId="4" fontId="3" fillId="6" borderId="7" xfId="0" applyNumberFormat="1" applyFont="1" applyFill="1" applyBorder="1"/>
    <xf numFmtId="0" fontId="3" fillId="6" borderId="5" xfId="0" applyFont="1" applyFill="1" applyBorder="1" applyAlignment="1">
      <alignment horizontal="right"/>
    </xf>
    <xf numFmtId="1" fontId="3" fillId="6" borderId="7" xfId="0" applyNumberFormat="1" applyFont="1" applyFill="1" applyBorder="1"/>
    <xf numFmtId="0" fontId="3" fillId="6" borderId="7" xfId="0" applyFont="1" applyFill="1" applyBorder="1"/>
    <xf numFmtId="3" fontId="3" fillId="6" borderId="9" xfId="1" applyNumberFormat="1" applyFont="1" applyFill="1" applyBorder="1"/>
    <xf numFmtId="179" fontId="3" fillId="6" borderId="5" xfId="1" applyNumberFormat="1" applyFont="1" applyFill="1" applyBorder="1"/>
    <xf numFmtId="179" fontId="3" fillId="6" borderId="7" xfId="0" applyNumberFormat="1" applyFont="1" applyFill="1" applyBorder="1"/>
    <xf numFmtId="0" fontId="3" fillId="5" borderId="8" xfId="0" applyFont="1" applyFill="1" applyBorder="1"/>
    <xf numFmtId="179" fontId="3" fillId="6" borderId="9" xfId="0" applyNumberFormat="1" applyFont="1" applyFill="1" applyBorder="1"/>
    <xf numFmtId="179" fontId="3" fillId="6" borderId="5" xfId="0" applyNumberFormat="1" applyFont="1" applyFill="1" applyBorder="1"/>
    <xf numFmtId="0" fontId="3" fillId="5" borderId="6" xfId="0" applyFont="1" applyFill="1" applyBorder="1"/>
    <xf numFmtId="4" fontId="3" fillId="6" borderId="5" xfId="0" applyNumberFormat="1" applyFont="1" applyFill="1" applyBorder="1"/>
    <xf numFmtId="4" fontId="0" fillId="6" borderId="9" xfId="0" applyNumberFormat="1" applyFill="1" applyBorder="1"/>
    <xf numFmtId="0" fontId="3" fillId="5" borderId="4" xfId="0" applyFont="1" applyFill="1" applyBorder="1"/>
    <xf numFmtId="4" fontId="3" fillId="6" borderId="9" xfId="0" applyNumberFormat="1" applyFont="1" applyFill="1" applyBorder="1"/>
    <xf numFmtId="0" fontId="8" fillId="0" borderId="0" xfId="0" applyFont="1"/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9" fillId="0" borderId="0" xfId="0" applyFont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10" fillId="0" borderId="19" xfId="0" applyFont="1" applyBorder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0" fillId="0" borderId="16" xfId="0" applyFont="1" applyBorder="1" applyAlignment="1">
      <alignment horizontal="left"/>
    </xf>
    <xf numFmtId="0" fontId="10" fillId="0" borderId="17" xfId="0" applyFont="1" applyBorder="1" applyAlignment="1">
      <alignment horizontal="right"/>
    </xf>
    <xf numFmtId="0" fontId="10" fillId="0" borderId="16" xfId="0" applyFont="1" applyBorder="1"/>
    <xf numFmtId="170" fontId="0" fillId="6" borderId="0" xfId="0" applyNumberFormat="1" applyFill="1"/>
    <xf numFmtId="182" fontId="0" fillId="0" borderId="0" xfId="0" applyNumberFormat="1"/>
    <xf numFmtId="183" fontId="0" fillId="0" borderId="0" xfId="0" applyNumberFormat="1"/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8" borderId="30" xfId="0" applyFill="1" applyBorder="1"/>
    <xf numFmtId="184" fontId="0" fillId="8" borderId="31" xfId="0" applyNumberFormat="1" applyFill="1" applyBorder="1"/>
    <xf numFmtId="0" fontId="0" fillId="8" borderId="31" xfId="0" applyFill="1" applyBorder="1"/>
    <xf numFmtId="43" fontId="0" fillId="8" borderId="31" xfId="1" applyFont="1" applyFill="1" applyBorder="1"/>
    <xf numFmtId="0" fontId="0" fillId="8" borderId="6" xfId="0" applyFill="1" applyBorder="1"/>
    <xf numFmtId="184" fontId="0" fillId="8" borderId="23" xfId="0" applyNumberFormat="1" applyFill="1" applyBorder="1"/>
    <xf numFmtId="0" fontId="0" fillId="8" borderId="23" xfId="0" applyFill="1" applyBorder="1"/>
    <xf numFmtId="43" fontId="0" fillId="8" borderId="23" xfId="1" applyFont="1" applyFill="1" applyBorder="1"/>
    <xf numFmtId="9" fontId="0" fillId="0" borderId="0" xfId="2" applyFont="1"/>
    <xf numFmtId="0" fontId="0" fillId="0" borderId="7" xfId="0" applyBorder="1"/>
    <xf numFmtId="0" fontId="3" fillId="3" borderId="1" xfId="0" applyFont="1" applyFill="1" applyBorder="1"/>
    <xf numFmtId="0" fontId="3" fillId="3" borderId="2" xfId="0" applyFont="1" applyFill="1" applyBorder="1"/>
    <xf numFmtId="43" fontId="3" fillId="3" borderId="2" xfId="1" applyFont="1" applyFill="1" applyBorder="1"/>
    <xf numFmtId="0" fontId="3" fillId="3" borderId="3" xfId="0" applyFont="1" applyFill="1" applyBorder="1"/>
    <xf numFmtId="0" fontId="0" fillId="0" borderId="32" xfId="0" applyBorder="1"/>
    <xf numFmtId="0" fontId="11" fillId="9" borderId="0" xfId="0" applyFont="1" applyFill="1" applyAlignment="1">
      <alignment horizontal="right"/>
    </xf>
    <xf numFmtId="0" fontId="10" fillId="9" borderId="0" xfId="0" applyFont="1" applyFill="1"/>
    <xf numFmtId="0" fontId="12" fillId="9" borderId="21" xfId="0" applyFont="1" applyFill="1" applyBorder="1" applyAlignment="1">
      <alignment vertical="center"/>
    </xf>
    <xf numFmtId="0" fontId="10" fillId="9" borderId="10" xfId="0" applyFont="1" applyFill="1" applyBorder="1" applyAlignment="1">
      <alignment vertical="center"/>
    </xf>
    <xf numFmtId="0" fontId="12" fillId="9" borderId="10" xfId="0" applyFont="1" applyFill="1" applyBorder="1" applyAlignment="1">
      <alignment vertical="center"/>
    </xf>
    <xf numFmtId="184" fontId="0" fillId="0" borderId="0" xfId="0" applyNumberFormat="1"/>
    <xf numFmtId="0" fontId="7" fillId="3" borderId="1" xfId="4" applyFont="1" applyFill="1" applyBorder="1" applyAlignment="1">
      <alignment vertical="center"/>
    </xf>
    <xf numFmtId="0" fontId="7" fillId="3" borderId="2" xfId="4" applyFont="1" applyFill="1" applyBorder="1" applyAlignment="1">
      <alignment vertical="center"/>
    </xf>
    <xf numFmtId="0" fontId="7" fillId="3" borderId="3" xfId="4" applyFont="1" applyFill="1" applyBorder="1" applyAlignment="1">
      <alignment vertical="center"/>
    </xf>
    <xf numFmtId="0" fontId="1" fillId="0" borderId="0" xfId="4"/>
    <xf numFmtId="0" fontId="1" fillId="8" borderId="6" xfId="4" applyFill="1" applyBorder="1"/>
    <xf numFmtId="184" fontId="1" fillId="8" borderId="23" xfId="4" applyNumberFormat="1" applyFill="1" applyBorder="1"/>
    <xf numFmtId="0" fontId="1" fillId="8" borderId="23" xfId="4" applyFill="1" applyBorder="1"/>
    <xf numFmtId="43" fontId="0" fillId="8" borderId="23" xfId="5" applyFont="1" applyFill="1" applyBorder="1"/>
    <xf numFmtId="0" fontId="1" fillId="0" borderId="7" xfId="4" applyBorder="1"/>
    <xf numFmtId="9" fontId="0" fillId="0" borderId="0" xfId="6" applyFont="1"/>
    <xf numFmtId="9" fontId="1" fillId="0" borderId="0" xfId="4" applyNumberFormat="1"/>
    <xf numFmtId="0" fontId="1" fillId="3" borderId="0" xfId="4" applyFill="1"/>
    <xf numFmtId="43" fontId="1" fillId="0" borderId="0" xfId="4" applyNumberFormat="1"/>
    <xf numFmtId="185" fontId="1" fillId="0" borderId="0" xfId="4" applyNumberFormat="1"/>
    <xf numFmtId="0" fontId="1" fillId="0" borderId="6" xfId="4" applyBorder="1"/>
    <xf numFmtId="0" fontId="3" fillId="0" borderId="0" xfId="4" applyFont="1"/>
    <xf numFmtId="4" fontId="3" fillId="6" borderId="7" xfId="4" applyNumberFormat="1" applyFont="1" applyFill="1" applyBorder="1"/>
    <xf numFmtId="43" fontId="3" fillId="0" borderId="0" xfId="4" applyNumberFormat="1" applyFont="1"/>
    <xf numFmtId="43" fontId="0" fillId="0" borderId="0" xfId="5" applyFont="1"/>
    <xf numFmtId="43" fontId="3" fillId="0" borderId="0" xfId="5" applyFont="1"/>
    <xf numFmtId="43" fontId="0" fillId="3" borderId="0" xfId="5" applyFont="1" applyFill="1"/>
    <xf numFmtId="171" fontId="1" fillId="0" borderId="0" xfId="2" applyNumberFormat="1"/>
    <xf numFmtId="43" fontId="1" fillId="0" borderId="0" xfId="1"/>
    <xf numFmtId="0" fontId="1" fillId="10" borderId="0" xfId="4" applyFill="1"/>
    <xf numFmtId="43" fontId="0" fillId="10" borderId="0" xfId="5" applyFont="1" applyFill="1"/>
    <xf numFmtId="43" fontId="1" fillId="10" borderId="0" xfId="1" applyFill="1"/>
    <xf numFmtId="43" fontId="1" fillId="10" borderId="0" xfId="4" applyNumberFormat="1" applyFill="1"/>
    <xf numFmtId="0" fontId="3" fillId="10" borderId="0" xfId="4" applyFont="1" applyFill="1"/>
    <xf numFmtId="43" fontId="3" fillId="10" borderId="0" xfId="5" applyFont="1" applyFill="1"/>
    <xf numFmtId="43" fontId="3" fillId="10" borderId="0" xfId="4" applyNumberFormat="1" applyFont="1" applyFill="1"/>
    <xf numFmtId="164" fontId="3" fillId="3" borderId="2" xfId="0" applyNumberFormat="1" applyFont="1" applyFill="1" applyBorder="1" applyAlignment="1">
      <alignment horizontal="center"/>
    </xf>
    <xf numFmtId="164" fontId="3" fillId="3" borderId="3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5" borderId="11" xfId="1" applyNumberFormat="1" applyFont="1" applyFill="1" applyBorder="1" applyAlignment="1">
      <alignment horizontal="center"/>
    </xf>
    <xf numFmtId="0" fontId="0" fillId="5" borderId="12" xfId="1" applyNumberFormat="1" applyFont="1" applyFill="1" applyBorder="1" applyAlignment="1">
      <alignment horizontal="center"/>
    </xf>
    <xf numFmtId="0" fontId="11" fillId="9" borderId="10" xfId="0" applyFont="1" applyFill="1" applyBorder="1" applyAlignment="1">
      <alignment horizontal="center" vertical="center"/>
    </xf>
    <xf numFmtId="43" fontId="11" fillId="0" borderId="25" xfId="1" applyFont="1" applyFill="1" applyBorder="1" applyAlignment="1">
      <alignment horizontal="center"/>
    </xf>
    <xf numFmtId="43" fontId="11" fillId="0" borderId="28" xfId="1" applyFont="1" applyFill="1" applyBorder="1" applyAlignment="1">
      <alignment horizontal="center"/>
    </xf>
    <xf numFmtId="43" fontId="11" fillId="0" borderId="26" xfId="1" applyFont="1" applyFill="1" applyBorder="1" applyAlignment="1">
      <alignment horizontal="center"/>
    </xf>
    <xf numFmtId="181" fontId="11" fillId="9" borderId="10" xfId="3" applyNumberFormat="1" applyFont="1" applyFill="1" applyBorder="1" applyAlignment="1">
      <alignment horizontal="center" vertical="center"/>
    </xf>
    <xf numFmtId="181" fontId="11" fillId="9" borderId="22" xfId="3" applyNumberFormat="1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22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/>
    </xf>
    <xf numFmtId="0" fontId="11" fillId="7" borderId="19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9" borderId="0" xfId="0" applyFont="1" applyFill="1" applyAlignment="1">
      <alignment horizontal="right"/>
    </xf>
    <xf numFmtId="0" fontId="11" fillId="9" borderId="17" xfId="0" applyFont="1" applyFill="1" applyBorder="1" applyAlignment="1">
      <alignment horizontal="right"/>
    </xf>
    <xf numFmtId="180" fontId="11" fillId="9" borderId="0" xfId="0" applyNumberFormat="1" applyFont="1" applyFill="1" applyAlignment="1">
      <alignment horizontal="right"/>
    </xf>
    <xf numFmtId="180" fontId="11" fillId="9" borderId="17" xfId="0" applyNumberFormat="1" applyFont="1" applyFill="1" applyBorder="1" applyAlignment="1">
      <alignment horizontal="right"/>
    </xf>
    <xf numFmtId="0" fontId="11" fillId="9" borderId="16" xfId="0" applyFont="1" applyFill="1" applyBorder="1" applyAlignment="1">
      <alignment horizontal="left"/>
    </xf>
    <xf numFmtId="0" fontId="11" fillId="9" borderId="0" xfId="0" applyFont="1" applyFill="1" applyAlignment="1">
      <alignment horizontal="left"/>
    </xf>
    <xf numFmtId="0" fontId="10" fillId="0" borderId="1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7" borderId="14" xfId="0" applyFont="1" applyFill="1" applyBorder="1" applyAlignment="1">
      <alignment horizontal="center"/>
    </xf>
    <xf numFmtId="0" fontId="11" fillId="7" borderId="0" xfId="0" applyFont="1" applyFill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1" fillId="7" borderId="24" xfId="0" applyFont="1" applyFill="1" applyBorder="1" applyAlignment="1">
      <alignment horizontal="center"/>
    </xf>
    <xf numFmtId="0" fontId="11" fillId="7" borderId="5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left"/>
    </xf>
    <xf numFmtId="43" fontId="11" fillId="0" borderId="27" xfId="1" applyFont="1" applyFill="1" applyBorder="1" applyAlignment="1">
      <alignment horizontal="center"/>
    </xf>
    <xf numFmtId="43" fontId="11" fillId="0" borderId="29" xfId="1" applyFont="1" applyFill="1" applyBorder="1" applyAlignment="1">
      <alignment horizontal="center"/>
    </xf>
    <xf numFmtId="4" fontId="11" fillId="9" borderId="0" xfId="0" applyNumberFormat="1" applyFont="1" applyFill="1" applyAlignment="1">
      <alignment horizontal="right"/>
    </xf>
    <xf numFmtId="1" fontId="11" fillId="9" borderId="0" xfId="0" applyNumberFormat="1" applyFont="1" applyFill="1" applyAlignment="1">
      <alignment horizontal="right"/>
    </xf>
    <xf numFmtId="1" fontId="11" fillId="9" borderId="17" xfId="0" applyNumberFormat="1" applyFont="1" applyFill="1" applyBorder="1" applyAlignment="1">
      <alignment horizontal="right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0" xfId="4" applyFont="1" applyAlignment="1">
      <alignment horizontal="center"/>
    </xf>
    <xf numFmtId="43" fontId="3" fillId="0" borderId="0" xfId="5" applyFont="1" applyAlignment="1">
      <alignment horizontal="center"/>
    </xf>
    <xf numFmtId="0" fontId="3" fillId="10" borderId="0" xfId="4" applyFont="1" applyFill="1" applyAlignment="1">
      <alignment horizontal="center"/>
    </xf>
  </cellXfs>
  <cellStyles count="7">
    <cellStyle name="Comma" xfId="1" builtinId="3"/>
    <cellStyle name="Comma 2" xfId="5" xr:uid="{4C093BC6-6904-470C-B3F7-AB9844939FB3}"/>
    <cellStyle name="Currency" xfId="3" builtinId="4"/>
    <cellStyle name="Normal" xfId="0" builtinId="0"/>
    <cellStyle name="Normal 2" xfId="4" xr:uid="{9A08851F-6244-4B15-BFAE-7F7C9C67D920}"/>
    <cellStyle name="Percent" xfId="2" builtinId="5"/>
    <cellStyle name="Percent 2" xfId="6" xr:uid="{59208455-4DF3-4AB7-8784-085DA2FC2E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815454</xdr:colOff>
      <xdr:row>1</xdr:row>
      <xdr:rowOff>186437</xdr:rowOff>
    </xdr:from>
    <xdr:to>
      <xdr:col>12</xdr:col>
      <xdr:colOff>463621</xdr:colOff>
      <xdr:row>16</xdr:row>
      <xdr:rowOff>149383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7807" y="410555"/>
          <a:ext cx="2457108" cy="30707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182880</xdr:rowOff>
        </xdr:from>
        <xdr:to>
          <xdr:col>20</xdr:col>
          <xdr:colOff>320040</xdr:colOff>
          <xdr:row>18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220980</xdr:colOff>
          <xdr:row>3</xdr:row>
          <xdr:rowOff>137160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hulu\OneDrive\Dissertation\Annuity%20Calculation-Khuluma.xlsx" TargetMode="External"/><Relationship Id="rId1" Type="http://schemas.openxmlformats.org/officeDocument/2006/relationships/externalLinkPath" Target="/Users/khulu/OneDrive/Dissertation/Annuity%20Calculation-Khulu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92"/>
      <sheetName val="AM92 (New Formula)"/>
      <sheetName val="SA8590"/>
      <sheetName val="Sheet1"/>
      <sheetName val="Sheet2"/>
      <sheetName val="91-94 Experience"/>
      <sheetName val="AM92 Correct Formula"/>
    </sheetNames>
    <sheetDataSet>
      <sheetData sheetId="0">
        <row r="4">
          <cell r="C4">
            <v>10</v>
          </cell>
        </row>
        <row r="5">
          <cell r="C5">
            <v>4</v>
          </cell>
        </row>
        <row r="12">
          <cell r="C12">
            <v>0.94339622641509424</v>
          </cell>
        </row>
        <row r="27">
          <cell r="C27">
            <v>0.86444095973412594</v>
          </cell>
        </row>
      </sheetData>
      <sheetData sheetId="1">
        <row r="36">
          <cell r="C36">
            <v>120000</v>
          </cell>
          <cell r="D36">
            <v>1096790.2598043592</v>
          </cell>
        </row>
        <row r="37">
          <cell r="C37">
            <v>1.4999999999999999E-2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73CD3-0D58-48C9-A634-06E7C7D1B31E}">
  <sheetPr codeName="Sheet7"/>
  <dimension ref="B1:W105"/>
  <sheetViews>
    <sheetView topLeftCell="O1" zoomScale="96" zoomScaleNormal="62" workbookViewId="0">
      <pane ySplit="1" topLeftCell="A2" activePane="bottomLeft" state="frozen"/>
      <selection pane="bottomLeft" activeCell="X1" sqref="X1:XFD1048576"/>
    </sheetView>
  </sheetViews>
  <sheetFormatPr defaultRowHeight="13.2" x14ac:dyDescent="0.25"/>
  <cols>
    <col min="1" max="1" width="9.21875" customWidth="1"/>
    <col min="2" max="2" width="24.21875" bestFit="1" customWidth="1"/>
    <col min="3" max="3" width="16.21875" bestFit="1" customWidth="1"/>
    <col min="4" max="4" width="31.5546875" customWidth="1"/>
    <col min="5" max="5" width="8.88671875" customWidth="1"/>
    <col min="6" max="6" width="6.21875" bestFit="1" customWidth="1"/>
    <col min="7" max="9" width="9.88671875" bestFit="1" customWidth="1"/>
    <col min="10" max="10" width="11.33203125" customWidth="1"/>
    <col min="11" max="11" width="6.88671875" bestFit="1" customWidth="1"/>
    <col min="12" max="12" width="8.109375" bestFit="1" customWidth="1"/>
    <col min="13" max="14" width="9.33203125" style="5" bestFit="1" customWidth="1"/>
    <col min="15" max="15" width="11.6640625" style="39" bestFit="1" customWidth="1"/>
    <col min="16" max="17" width="11.6640625" style="19" bestFit="1" customWidth="1"/>
    <col min="18" max="18" width="9.44140625" style="20" bestFit="1" customWidth="1"/>
    <col min="19" max="19" width="8.88671875" style="5"/>
    <col min="20" max="20" width="6.109375" style="5" bestFit="1" customWidth="1"/>
    <col min="21" max="21" width="10" style="5" bestFit="1" customWidth="1"/>
    <col min="22" max="22" width="8.88671875" style="5"/>
    <col min="23" max="23" width="27.33203125" style="5" bestFit="1" customWidth="1"/>
  </cols>
  <sheetData>
    <row r="1" spans="2:23" ht="17.399999999999999" thickBot="1" x14ac:dyDescent="0.4">
      <c r="E1" s="3"/>
      <c r="F1" s="2" t="s">
        <v>1</v>
      </c>
      <c r="G1" s="2" t="s">
        <v>2</v>
      </c>
      <c r="H1" s="2" t="s">
        <v>3</v>
      </c>
      <c r="I1" s="4" t="s">
        <v>4</v>
      </c>
      <c r="J1" s="5"/>
      <c r="K1" s="6" t="s">
        <v>5</v>
      </c>
      <c r="L1" s="7" t="s">
        <v>6</v>
      </c>
      <c r="M1" s="8" t="s">
        <v>7</v>
      </c>
      <c r="N1" s="156" t="s">
        <v>8</v>
      </c>
      <c r="O1" s="157"/>
      <c r="P1" s="9" t="s">
        <v>9</v>
      </c>
      <c r="Q1" s="10" t="s">
        <v>10</v>
      </c>
      <c r="R1" s="11" t="s">
        <v>11</v>
      </c>
      <c r="S1" s="12"/>
      <c r="T1" s="13" t="s">
        <v>1</v>
      </c>
      <c r="U1" s="14" t="s">
        <v>12</v>
      </c>
      <c r="V1" s="12"/>
      <c r="W1" s="12" t="s">
        <v>13</v>
      </c>
    </row>
    <row r="2" spans="2:23" x14ac:dyDescent="0.25">
      <c r="F2">
        <v>20</v>
      </c>
      <c r="G2" s="16">
        <v>0.99957499999999999</v>
      </c>
      <c r="H2" s="16">
        <v>0.99945899999999999</v>
      </c>
      <c r="I2" s="16">
        <v>0.99704999999999999</v>
      </c>
      <c r="J2" s="16"/>
      <c r="K2" s="16"/>
      <c r="L2" s="17">
        <v>0</v>
      </c>
      <c r="M2" s="15">
        <v>1</v>
      </c>
      <c r="N2" s="15" t="str">
        <f>_xlfn.CONCAT(L2,"P",C7)</f>
        <v>0P35</v>
      </c>
      <c r="O2" s="18">
        <v>1</v>
      </c>
      <c r="P2" s="19">
        <f>IF(O2=0,0,$C$12^L2)</f>
        <v>1</v>
      </c>
      <c r="Q2" s="19">
        <f>P2*O2</f>
        <v>1</v>
      </c>
      <c r="R2" s="20">
        <f>IF(L2&lt;$C$4,P2,"-")</f>
        <v>1</v>
      </c>
      <c r="T2" s="21">
        <v>17</v>
      </c>
      <c r="U2" s="22" t="str">
        <f t="shared" ref="U2:U65" si="0">IF(AND(F2&gt;=$C$3,F2&lt;$C$7),I2,"-")</f>
        <v>-</v>
      </c>
      <c r="W2" s="54">
        <f>P2*O2</f>
        <v>1</v>
      </c>
    </row>
    <row r="3" spans="2:23" x14ac:dyDescent="0.25">
      <c r="B3" s="23" t="s">
        <v>14</v>
      </c>
      <c r="C3" s="23">
        <v>25</v>
      </c>
      <c r="F3">
        <v>21</v>
      </c>
      <c r="G3" s="16">
        <v>0.99957499999999999</v>
      </c>
      <c r="H3" s="16">
        <v>0.99946199999999996</v>
      </c>
      <c r="I3" s="16">
        <v>0.99670000000000003</v>
      </c>
      <c r="J3" s="16"/>
      <c r="K3" s="17">
        <f>$C$7</f>
        <v>35</v>
      </c>
      <c r="L3" s="17">
        <v>1</v>
      </c>
      <c r="M3" s="15">
        <f t="shared" ref="M3:M34" si="1">IFERROR(VLOOKUP($C$7+L2,$F$2:$I$105,4,FALSE),"0")</f>
        <v>0.99792000000000003</v>
      </c>
      <c r="N3" s="15" t="str">
        <f t="shared" ref="N3:N66" si="2">IF(O3=0,0,_xlfn.CONCAT(L3,"P",$C$7))</f>
        <v>1P35</v>
      </c>
      <c r="O3" s="18">
        <f>M3</f>
        <v>0.99792000000000003</v>
      </c>
      <c r="P3" s="19">
        <f>IF(O3=0,0,$C$12^L3)</f>
        <v>0.89285714285714279</v>
      </c>
      <c r="Q3" s="19">
        <f>P3*O3</f>
        <v>0.89100000000000001</v>
      </c>
      <c r="R3" s="20">
        <f t="shared" ref="R3:R66" si="3">IF(L3&lt;$C$4,P3,"-")</f>
        <v>0.89285714285714279</v>
      </c>
      <c r="T3" s="21">
        <v>18</v>
      </c>
      <c r="U3" s="22" t="str">
        <f t="shared" si="0"/>
        <v>-</v>
      </c>
      <c r="W3" s="54">
        <f t="shared" ref="W3:W66" si="4">P3*O3</f>
        <v>0.89100000000000001</v>
      </c>
    </row>
    <row r="4" spans="2:23" x14ac:dyDescent="0.25">
      <c r="B4" s="23" t="s">
        <v>15</v>
      </c>
      <c r="C4" s="23">
        <v>10</v>
      </c>
      <c r="F4">
        <v>22</v>
      </c>
      <c r="G4" s="16">
        <v>0.99957300000000004</v>
      </c>
      <c r="H4" s="16">
        <v>0.99946500000000005</v>
      </c>
      <c r="I4" s="16">
        <v>0.99665000000000004</v>
      </c>
      <c r="J4" s="16"/>
      <c r="K4" s="17">
        <f>$K$3+L3</f>
        <v>36</v>
      </c>
      <c r="L4" s="17">
        <v>2</v>
      </c>
      <c r="M4" s="15">
        <f t="shared" si="1"/>
        <v>0.99787999999999999</v>
      </c>
      <c r="N4" s="15" t="str">
        <f t="shared" si="2"/>
        <v>2P35</v>
      </c>
      <c r="O4" s="18">
        <f>IFERROR(M4*O3, "-")</f>
        <v>0.99580440960000005</v>
      </c>
      <c r="P4" s="19">
        <f t="shared" ref="P4:P67" si="5">IF(O4=0,0,$C$12^L4)</f>
        <v>0.79719387755102034</v>
      </c>
      <c r="Q4" s="19">
        <f t="shared" ref="Q4:Q67" si="6">P4*O4</f>
        <v>0.79384917857142856</v>
      </c>
      <c r="R4" s="20">
        <f t="shared" si="3"/>
        <v>0.79719387755102034</v>
      </c>
      <c r="T4" s="21">
        <v>19</v>
      </c>
      <c r="U4" s="22" t="str">
        <f t="shared" si="0"/>
        <v>-</v>
      </c>
      <c r="W4" s="54">
        <f t="shared" si="4"/>
        <v>0.79384917857142856</v>
      </c>
    </row>
    <row r="5" spans="2:23" x14ac:dyDescent="0.25">
      <c r="B5" s="23" t="s">
        <v>16</v>
      </c>
      <c r="C5" s="23">
        <v>12</v>
      </c>
      <c r="D5" s="16"/>
      <c r="F5">
        <v>23</v>
      </c>
      <c r="G5" s="16">
        <v>0.99957099999999999</v>
      </c>
      <c r="H5" s="16">
        <v>0.99946599999999997</v>
      </c>
      <c r="I5" s="16">
        <v>0.99697999999999998</v>
      </c>
      <c r="J5" s="16"/>
      <c r="K5" s="17">
        <f t="shared" ref="K5:K68" si="7">$K$3+L4</f>
        <v>37</v>
      </c>
      <c r="L5" s="17">
        <v>3</v>
      </c>
      <c r="M5" s="15">
        <f t="shared" si="1"/>
        <v>0.99782999999999999</v>
      </c>
      <c r="N5" s="15" t="str">
        <f t="shared" si="2"/>
        <v>3P35</v>
      </c>
      <c r="O5" s="18">
        <f>IFERROR(M5*O4, "-")</f>
        <v>0.99364351403116802</v>
      </c>
      <c r="P5" s="19">
        <f t="shared" si="5"/>
        <v>0.71178024781341098</v>
      </c>
      <c r="Q5" s="19">
        <f t="shared" si="6"/>
        <v>0.7072558266552933</v>
      </c>
      <c r="R5" s="20">
        <f t="shared" si="3"/>
        <v>0.71178024781341098</v>
      </c>
      <c r="T5" s="21">
        <v>20</v>
      </c>
      <c r="U5" s="22" t="str">
        <f t="shared" si="0"/>
        <v>-</v>
      </c>
      <c r="W5" s="54">
        <f t="shared" si="4"/>
        <v>0.7072558266552933</v>
      </c>
    </row>
    <row r="6" spans="2:23" x14ac:dyDescent="0.25">
      <c r="B6" s="23"/>
      <c r="C6" s="23"/>
      <c r="F6">
        <v>24</v>
      </c>
      <c r="G6" s="16">
        <v>0.99956900000000004</v>
      </c>
      <c r="H6" s="16">
        <v>0.99946699999999999</v>
      </c>
      <c r="I6" s="16">
        <v>0.99717</v>
      </c>
      <c r="J6" s="16"/>
      <c r="K6" s="17">
        <f t="shared" si="7"/>
        <v>38</v>
      </c>
      <c r="L6" s="17">
        <v>4</v>
      </c>
      <c r="M6" s="15">
        <f t="shared" si="1"/>
        <v>0.99775000000000003</v>
      </c>
      <c r="N6" s="15" t="str">
        <f t="shared" si="2"/>
        <v>4P35</v>
      </c>
      <c r="O6" s="18">
        <f>IFERROR(M6*O5, "-")</f>
        <v>0.99140781612459794</v>
      </c>
      <c r="P6" s="19">
        <f t="shared" si="5"/>
        <v>0.63551807840483121</v>
      </c>
      <c r="Q6" s="19">
        <f t="shared" si="6"/>
        <v>0.63005759021903474</v>
      </c>
      <c r="R6" s="20">
        <f t="shared" si="3"/>
        <v>0.63551807840483121</v>
      </c>
      <c r="T6" s="21">
        <v>21</v>
      </c>
      <c r="U6" s="22" t="str">
        <f t="shared" si="0"/>
        <v>-</v>
      </c>
      <c r="W6" s="54">
        <f t="shared" si="4"/>
        <v>0.63005759021903474</v>
      </c>
    </row>
    <row r="7" spans="2:23" x14ac:dyDescent="0.25">
      <c r="B7" s="23" t="s">
        <v>17</v>
      </c>
      <c r="C7" s="23">
        <f>C3+TermNYearsAM92</f>
        <v>35</v>
      </c>
      <c r="F7">
        <v>25</v>
      </c>
      <c r="G7" s="16">
        <v>0.99956500000000004</v>
      </c>
      <c r="H7" s="16">
        <v>0.99946699999999999</v>
      </c>
      <c r="I7" s="16">
        <v>0.99734</v>
      </c>
      <c r="J7" s="16"/>
      <c r="K7" s="17">
        <f t="shared" si="7"/>
        <v>39</v>
      </c>
      <c r="L7" s="17">
        <v>5</v>
      </c>
      <c r="M7" s="15">
        <f t="shared" si="1"/>
        <v>0.99766999999999995</v>
      </c>
      <c r="N7" s="15" t="str">
        <f t="shared" si="2"/>
        <v>5P35</v>
      </c>
      <c r="O7" s="18">
        <f t="shared" ref="O7:O70" si="8">IFERROR(M7*O6, "-")</f>
        <v>0.98909783591302758</v>
      </c>
      <c r="P7" s="19">
        <f t="shared" si="5"/>
        <v>0.5674268557185993</v>
      </c>
      <c r="Q7" s="19">
        <f t="shared" si="6"/>
        <v>0.56124067503020025</v>
      </c>
      <c r="R7" s="20">
        <f t="shared" si="3"/>
        <v>0.5674268557185993</v>
      </c>
      <c r="T7" s="21">
        <v>22</v>
      </c>
      <c r="U7" s="22">
        <f t="shared" si="0"/>
        <v>0.99734</v>
      </c>
      <c r="W7" s="54">
        <f t="shared" si="4"/>
        <v>0.56124067503020025</v>
      </c>
    </row>
    <row r="8" spans="2:23" x14ac:dyDescent="0.25">
      <c r="F8">
        <v>26</v>
      </c>
      <c r="G8" s="16">
        <v>0.99956</v>
      </c>
      <c r="H8" s="16">
        <v>0.99946500000000005</v>
      </c>
      <c r="I8" s="16">
        <v>0.99748999999999999</v>
      </c>
      <c r="J8" s="16"/>
      <c r="K8" s="17">
        <f t="shared" si="7"/>
        <v>40</v>
      </c>
      <c r="L8" s="17">
        <v>6</v>
      </c>
      <c r="M8" s="15">
        <f t="shared" si="1"/>
        <v>0.99756</v>
      </c>
      <c r="N8" s="15" t="str">
        <f t="shared" si="2"/>
        <v>6P35</v>
      </c>
      <c r="O8" s="18">
        <f t="shared" si="8"/>
        <v>0.98668443719339982</v>
      </c>
      <c r="P8" s="19">
        <f t="shared" si="5"/>
        <v>0.50663112117732079</v>
      </c>
      <c r="Q8" s="19">
        <f t="shared" si="6"/>
        <v>0.49988504266350592</v>
      </c>
      <c r="R8" s="20">
        <f t="shared" si="3"/>
        <v>0.50663112117732079</v>
      </c>
      <c r="T8" s="21">
        <v>23</v>
      </c>
      <c r="U8" s="22">
        <f t="shared" si="0"/>
        <v>0.99748999999999999</v>
      </c>
      <c r="W8" s="54">
        <f t="shared" si="4"/>
        <v>0.49988504266350592</v>
      </c>
    </row>
    <row r="9" spans="2:23" x14ac:dyDescent="0.25">
      <c r="B9" s="24" t="s">
        <v>18</v>
      </c>
      <c r="F9">
        <v>27</v>
      </c>
      <c r="G9" s="16">
        <v>0.99955300000000002</v>
      </c>
      <c r="H9" s="16">
        <v>0.99946199999999996</v>
      </c>
      <c r="I9" s="16">
        <v>0.99761</v>
      </c>
      <c r="J9" s="16"/>
      <c r="K9" s="17">
        <f t="shared" si="7"/>
        <v>41</v>
      </c>
      <c r="L9" s="17">
        <v>7</v>
      </c>
      <c r="M9" s="15">
        <f t="shared" si="1"/>
        <v>0.99743999999999999</v>
      </c>
      <c r="N9" s="15" t="str">
        <f t="shared" si="2"/>
        <v>7P35</v>
      </c>
      <c r="O9" s="18">
        <f t="shared" si="8"/>
        <v>0.98415852503418466</v>
      </c>
      <c r="P9" s="19">
        <f t="shared" si="5"/>
        <v>0.45234921533689348</v>
      </c>
      <c r="Q9" s="19">
        <f t="shared" si="6"/>
        <v>0.44518333656632786</v>
      </c>
      <c r="R9" s="20">
        <f t="shared" si="3"/>
        <v>0.45234921533689348</v>
      </c>
      <c r="T9" s="21">
        <v>24</v>
      </c>
      <c r="U9" s="22">
        <f t="shared" si="0"/>
        <v>0.99761</v>
      </c>
      <c r="W9" s="54">
        <f t="shared" si="4"/>
        <v>0.44518333656632786</v>
      </c>
    </row>
    <row r="10" spans="2:23" x14ac:dyDescent="0.25">
      <c r="B10" s="23" t="s">
        <v>19</v>
      </c>
      <c r="C10" s="23">
        <v>12</v>
      </c>
      <c r="F10">
        <v>28</v>
      </c>
      <c r="G10" s="16">
        <v>0.99954500000000002</v>
      </c>
      <c r="H10" s="16">
        <v>0.99945799999999996</v>
      </c>
      <c r="I10" s="16">
        <v>0.99772000000000005</v>
      </c>
      <c r="J10" s="16"/>
      <c r="K10" s="17">
        <f t="shared" si="7"/>
        <v>42</v>
      </c>
      <c r="L10" s="17">
        <v>8</v>
      </c>
      <c r="M10" s="15">
        <f t="shared" si="1"/>
        <v>0.99727999999999994</v>
      </c>
      <c r="N10" s="15" t="str">
        <f t="shared" si="2"/>
        <v>8P35</v>
      </c>
      <c r="O10" s="18">
        <f t="shared" si="8"/>
        <v>0.98148161384609167</v>
      </c>
      <c r="P10" s="19">
        <f>IF(O10=0,0,$C$12^L10)</f>
        <v>0.40388322797936921</v>
      </c>
      <c r="Q10" s="19">
        <f t="shared" si="6"/>
        <v>0.39640396240256026</v>
      </c>
      <c r="R10" s="20">
        <f t="shared" si="3"/>
        <v>0.40388322797936921</v>
      </c>
      <c r="T10" s="21">
        <v>25</v>
      </c>
      <c r="U10" s="22">
        <f t="shared" si="0"/>
        <v>0.99772000000000005</v>
      </c>
      <c r="W10" s="54">
        <f t="shared" si="4"/>
        <v>0.39640396240256026</v>
      </c>
    </row>
    <row r="11" spans="2:23" x14ac:dyDescent="0.25">
      <c r="B11" s="23" t="s">
        <v>20</v>
      </c>
      <c r="C11" s="23">
        <f>$C$10/100</f>
        <v>0.12</v>
      </c>
      <c r="F11">
        <v>29</v>
      </c>
      <c r="G11" s="16">
        <v>0.99953499999999995</v>
      </c>
      <c r="H11" s="16">
        <v>0.99945099999999998</v>
      </c>
      <c r="I11" s="16">
        <v>0.99780000000000002</v>
      </c>
      <c r="J11" s="16"/>
      <c r="K11" s="17">
        <f t="shared" si="7"/>
        <v>43</v>
      </c>
      <c r="L11" s="17">
        <v>9</v>
      </c>
      <c r="M11" s="15">
        <f t="shared" si="1"/>
        <v>0.99714000000000003</v>
      </c>
      <c r="N11" s="15" t="str">
        <f t="shared" si="2"/>
        <v>9P35</v>
      </c>
      <c r="O11" s="18">
        <f t="shared" si="8"/>
        <v>0.97867457643049183</v>
      </c>
      <c r="P11" s="19">
        <f t="shared" si="5"/>
        <v>0.36061002498157962</v>
      </c>
      <c r="Q11" s="19">
        <f t="shared" si="6"/>
        <v>0.35291986345543652</v>
      </c>
      <c r="R11" s="20">
        <f t="shared" si="3"/>
        <v>0.36061002498157962</v>
      </c>
      <c r="T11" s="21">
        <v>26</v>
      </c>
      <c r="U11" s="22">
        <f t="shared" si="0"/>
        <v>0.99780000000000002</v>
      </c>
      <c r="W11" s="54">
        <f t="shared" si="4"/>
        <v>0.35291986345543652</v>
      </c>
    </row>
    <row r="12" spans="2:23" x14ac:dyDescent="0.25">
      <c r="B12" s="23" t="s">
        <v>21</v>
      </c>
      <c r="C12" s="23">
        <f>1/(1+C11)</f>
        <v>0.89285714285714279</v>
      </c>
      <c r="D12" s="100">
        <f>PresentValueFactorAM92-PVF</f>
        <v>3.0788177339901468E-2</v>
      </c>
      <c r="F12">
        <v>30</v>
      </c>
      <c r="G12" s="16">
        <v>0.99952399999999997</v>
      </c>
      <c r="H12" s="16">
        <v>0.99944200000000005</v>
      </c>
      <c r="I12" s="16">
        <v>0.99787000000000003</v>
      </c>
      <c r="J12" s="16"/>
      <c r="K12" s="17">
        <f t="shared" si="7"/>
        <v>44</v>
      </c>
      <c r="L12" s="17">
        <v>10</v>
      </c>
      <c r="M12" s="15">
        <f t="shared" si="1"/>
        <v>0.99695999999999996</v>
      </c>
      <c r="N12" s="15" t="str">
        <f t="shared" si="2"/>
        <v>10P35</v>
      </c>
      <c r="O12" s="18">
        <f t="shared" si="8"/>
        <v>0.97569940571814306</v>
      </c>
      <c r="P12" s="19">
        <f t="shared" si="5"/>
        <v>0.3219732365906961</v>
      </c>
      <c r="Q12" s="19">
        <f t="shared" si="6"/>
        <v>0.31414909559868925</v>
      </c>
      <c r="R12" s="20" t="str">
        <f t="shared" si="3"/>
        <v>-</v>
      </c>
      <c r="T12" s="21">
        <v>27</v>
      </c>
      <c r="U12" s="22">
        <f t="shared" si="0"/>
        <v>0.99787000000000003</v>
      </c>
      <c r="W12" s="54">
        <f t="shared" si="4"/>
        <v>0.31414909559868925</v>
      </c>
    </row>
    <row r="13" spans="2:23" x14ac:dyDescent="0.25">
      <c r="B13" s="23" t="s">
        <v>22</v>
      </c>
      <c r="C13" s="23">
        <f>$C$11/(1+$C$11)</f>
        <v>0.10714285714285712</v>
      </c>
      <c r="D13" s="100">
        <f>C13-DiscountRate</f>
        <v>-3.0788177339901496E-2</v>
      </c>
      <c r="F13">
        <v>31</v>
      </c>
      <c r="G13" s="16">
        <v>0.99951000000000001</v>
      </c>
      <c r="H13" s="16">
        <v>0.99943099999999996</v>
      </c>
      <c r="I13" s="16">
        <v>0.99792000000000003</v>
      </c>
      <c r="J13" s="16"/>
      <c r="K13" s="17">
        <f t="shared" si="7"/>
        <v>45</v>
      </c>
      <c r="L13" s="17">
        <v>11</v>
      </c>
      <c r="M13" s="15">
        <f t="shared" si="1"/>
        <v>0.99675000000000002</v>
      </c>
      <c r="N13" s="15" t="str">
        <f t="shared" si="2"/>
        <v>11P35</v>
      </c>
      <c r="O13" s="18">
        <f t="shared" si="8"/>
        <v>0.9725283826495591</v>
      </c>
      <c r="P13" s="19">
        <f t="shared" si="5"/>
        <v>0.28747610409883578</v>
      </c>
      <c r="Q13" s="19">
        <f t="shared" si="6"/>
        <v>0.27957867056963703</v>
      </c>
      <c r="R13" s="20" t="str">
        <f t="shared" si="3"/>
        <v>-</v>
      </c>
      <c r="T13" s="21">
        <v>28</v>
      </c>
      <c r="U13" s="22">
        <f t="shared" si="0"/>
        <v>0.99792000000000003</v>
      </c>
      <c r="W13" s="54">
        <f t="shared" si="4"/>
        <v>0.27957867056963703</v>
      </c>
    </row>
    <row r="14" spans="2:23" x14ac:dyDescent="0.25">
      <c r="B14" s="158" t="s">
        <v>23</v>
      </c>
      <c r="C14" s="158"/>
      <c r="D14" s="100"/>
      <c r="F14">
        <v>32</v>
      </c>
      <c r="G14" s="16">
        <v>0.99949299999999996</v>
      </c>
      <c r="H14" s="16">
        <v>0.99941599999999997</v>
      </c>
      <c r="I14" s="16">
        <v>0.99795</v>
      </c>
      <c r="J14" s="16"/>
      <c r="K14" s="17">
        <f t="shared" si="7"/>
        <v>46</v>
      </c>
      <c r="L14" s="17">
        <v>12</v>
      </c>
      <c r="M14" s="15">
        <f t="shared" si="1"/>
        <v>0.99650000000000005</v>
      </c>
      <c r="N14" s="15" t="str">
        <f t="shared" si="2"/>
        <v>12P35</v>
      </c>
      <c r="O14" s="18">
        <f t="shared" si="8"/>
        <v>0.9691245333102857</v>
      </c>
      <c r="P14" s="19">
        <f t="shared" si="5"/>
        <v>0.25667509294538909</v>
      </c>
      <c r="Q14" s="19">
        <f t="shared" si="6"/>
        <v>0.24875012966307442</v>
      </c>
      <c r="R14" s="20" t="str">
        <f t="shared" si="3"/>
        <v>-</v>
      </c>
      <c r="T14" s="21">
        <v>29</v>
      </c>
      <c r="U14" s="22">
        <f t="shared" si="0"/>
        <v>0.99795</v>
      </c>
      <c r="W14" s="54">
        <f t="shared" si="4"/>
        <v>0.24875012966307442</v>
      </c>
    </row>
    <row r="15" spans="2:23" x14ac:dyDescent="0.25">
      <c r="D15" s="100"/>
      <c r="F15">
        <v>33</v>
      </c>
      <c r="G15" s="16">
        <v>0.99947299999999994</v>
      </c>
      <c r="H15" s="16">
        <v>0.99939800000000001</v>
      </c>
      <c r="I15" s="16">
        <v>0.99795999999999996</v>
      </c>
      <c r="J15" s="16"/>
      <c r="K15" s="17">
        <f t="shared" si="7"/>
        <v>47</v>
      </c>
      <c r="L15" s="17">
        <v>13</v>
      </c>
      <c r="M15" s="15">
        <f t="shared" si="1"/>
        <v>0.99622999999999995</v>
      </c>
      <c r="N15" s="15" t="str">
        <f t="shared" si="2"/>
        <v>13P35</v>
      </c>
      <c r="O15" s="18">
        <f t="shared" si="8"/>
        <v>0.96547093381970583</v>
      </c>
      <c r="P15" s="19">
        <f t="shared" si="5"/>
        <v>0.22917419012981169</v>
      </c>
      <c r="Q15" s="19">
        <f t="shared" si="6"/>
        <v>0.2212610193520041</v>
      </c>
      <c r="R15" s="20" t="str">
        <f t="shared" si="3"/>
        <v>-</v>
      </c>
      <c r="T15" s="21">
        <v>30</v>
      </c>
      <c r="U15" s="22">
        <f t="shared" si="0"/>
        <v>0.99795999999999996</v>
      </c>
      <c r="W15" s="54">
        <f t="shared" si="4"/>
        <v>0.2212610193520041</v>
      </c>
    </row>
    <row r="16" spans="2:23" x14ac:dyDescent="0.25">
      <c r="D16" s="100"/>
      <c r="F16">
        <v>34</v>
      </c>
      <c r="G16" s="16">
        <v>0.99944999999999995</v>
      </c>
      <c r="H16" s="16">
        <v>0.99937600000000004</v>
      </c>
      <c r="I16" s="16">
        <v>0.99795</v>
      </c>
      <c r="J16" s="16"/>
      <c r="K16" s="17">
        <f t="shared" si="7"/>
        <v>48</v>
      </c>
      <c r="L16" s="17">
        <v>14</v>
      </c>
      <c r="M16" s="15">
        <f t="shared" si="1"/>
        <v>0.99592000000000003</v>
      </c>
      <c r="N16" s="15" t="str">
        <f t="shared" si="2"/>
        <v>14P35</v>
      </c>
      <c r="O16" s="18">
        <f t="shared" si="8"/>
        <v>0.96153181240972141</v>
      </c>
      <c r="P16" s="19">
        <f t="shared" si="5"/>
        <v>0.20461981261590328</v>
      </c>
      <c r="Q16" s="19">
        <f t="shared" si="6"/>
        <v>0.19674845927950707</v>
      </c>
      <c r="R16" s="20" t="str">
        <f t="shared" si="3"/>
        <v>-</v>
      </c>
      <c r="T16" s="21">
        <v>31</v>
      </c>
      <c r="U16" s="22">
        <f t="shared" si="0"/>
        <v>0.99795</v>
      </c>
      <c r="W16" s="54">
        <f t="shared" si="4"/>
        <v>0.19674845927950707</v>
      </c>
    </row>
    <row r="17" spans="2:23" x14ac:dyDescent="0.25">
      <c r="B17" s="23" t="s">
        <v>24</v>
      </c>
      <c r="C17" s="49">
        <f>SUM($Q$2:$Q$105)</f>
        <v>9.0277460554845881</v>
      </c>
      <c r="D17" s="100">
        <f>WholeLifeAnnuityAgeXPlusNAM92-WholeLifeAnnuityAgeXPlusN</f>
        <v>3.0412489273379437</v>
      </c>
      <c r="F17">
        <v>35</v>
      </c>
      <c r="G17" s="16">
        <v>0.99942299999999995</v>
      </c>
      <c r="H17" s="16">
        <v>0.99934900000000004</v>
      </c>
      <c r="I17" s="16">
        <v>0.99792000000000003</v>
      </c>
      <c r="J17" s="16"/>
      <c r="K17" s="17">
        <f t="shared" si="7"/>
        <v>49</v>
      </c>
      <c r="L17" s="17">
        <v>15</v>
      </c>
      <c r="M17" s="15">
        <f t="shared" si="1"/>
        <v>0.99556999999999995</v>
      </c>
      <c r="N17" s="15" t="str">
        <f t="shared" si="2"/>
        <v>15P35</v>
      </c>
      <c r="O17" s="18">
        <f t="shared" si="8"/>
        <v>0.95727222648074628</v>
      </c>
      <c r="P17" s="19">
        <f t="shared" si="5"/>
        <v>0.18269626126419933</v>
      </c>
      <c r="Q17" s="19">
        <f t="shared" si="6"/>
        <v>0.17489005679008821</v>
      </c>
      <c r="R17" s="20" t="str">
        <f t="shared" si="3"/>
        <v>-</v>
      </c>
      <c r="T17" s="21">
        <v>32</v>
      </c>
      <c r="U17" s="22" t="str">
        <f t="shared" si="0"/>
        <v>-</v>
      </c>
      <c r="W17" s="54">
        <f t="shared" si="4"/>
        <v>0.17489005679008821</v>
      </c>
    </row>
    <row r="18" spans="2:23" x14ac:dyDescent="0.25">
      <c r="B18" s="23" t="s">
        <v>25</v>
      </c>
      <c r="C18" s="23">
        <f>PresentValueFactorAM92^(TermNYearsAM92)</f>
        <v>0.3219732365906961</v>
      </c>
      <c r="D18" s="100">
        <f>PthlyPresentValueFactorAM92-PVofNthPayment</f>
        <v>9.52896331438918E-2</v>
      </c>
      <c r="F18">
        <v>36</v>
      </c>
      <c r="G18" s="16">
        <v>0.99939199999999995</v>
      </c>
      <c r="H18" s="16">
        <v>0.99931700000000001</v>
      </c>
      <c r="I18" s="16">
        <v>0.99787999999999999</v>
      </c>
      <c r="J18" s="16"/>
      <c r="K18" s="17">
        <f t="shared" si="7"/>
        <v>50</v>
      </c>
      <c r="L18" s="17">
        <v>16</v>
      </c>
      <c r="M18" s="15">
        <f t="shared" si="1"/>
        <v>0.99517999999999995</v>
      </c>
      <c r="N18" s="15" t="str">
        <f t="shared" si="2"/>
        <v>16P35</v>
      </c>
      <c r="O18" s="18">
        <f t="shared" si="8"/>
        <v>0.95265817434910904</v>
      </c>
      <c r="P18" s="19">
        <f t="shared" si="5"/>
        <v>0.16312166184303512</v>
      </c>
      <c r="Q18" s="19">
        <f t="shared" si="6"/>
        <v>0.15539918456817856</v>
      </c>
      <c r="R18" s="20" t="str">
        <f t="shared" si="3"/>
        <v>-</v>
      </c>
      <c r="T18" s="21">
        <v>33</v>
      </c>
      <c r="U18" s="22" t="str">
        <f t="shared" si="0"/>
        <v>-</v>
      </c>
      <c r="W18" s="54">
        <f t="shared" si="4"/>
        <v>0.15539918456817856</v>
      </c>
    </row>
    <row r="19" spans="2:23" x14ac:dyDescent="0.25">
      <c r="B19" s="23" t="s">
        <v>26</v>
      </c>
      <c r="C19" s="23">
        <f>PRODUCT($U$2:$U$105)</f>
        <v>0.97783404009033736</v>
      </c>
      <c r="D19" s="100">
        <f>NYearProbabilitySurvivalAM92-NYearProbabilitySurvival</f>
        <v>9.771318791674799E-2</v>
      </c>
      <c r="F19">
        <v>37</v>
      </c>
      <c r="G19" s="16">
        <v>0.99935600000000002</v>
      </c>
      <c r="H19" s="16">
        <v>0.999278</v>
      </c>
      <c r="I19" s="16">
        <v>0.99782999999999999</v>
      </c>
      <c r="J19" s="16"/>
      <c r="K19" s="17">
        <f t="shared" si="7"/>
        <v>51</v>
      </c>
      <c r="L19" s="17">
        <v>17</v>
      </c>
      <c r="M19" s="15">
        <f t="shared" si="1"/>
        <v>0.99473999999999996</v>
      </c>
      <c r="N19" s="15" t="str">
        <f t="shared" si="2"/>
        <v>17P35</v>
      </c>
      <c r="O19" s="18">
        <f t="shared" si="8"/>
        <v>0.94764719235203265</v>
      </c>
      <c r="P19" s="19">
        <f t="shared" si="5"/>
        <v>0.14564434093128134</v>
      </c>
      <c r="Q19" s="19">
        <f t="shared" si="6"/>
        <v>0.13801945076549099</v>
      </c>
      <c r="R19" s="20" t="str">
        <f t="shared" si="3"/>
        <v>-</v>
      </c>
      <c r="T19" s="21">
        <v>34</v>
      </c>
      <c r="U19" s="22" t="str">
        <f t="shared" si="0"/>
        <v>-</v>
      </c>
      <c r="W19" s="54">
        <f t="shared" si="4"/>
        <v>0.13801945076549099</v>
      </c>
    </row>
    <row r="20" spans="2:23" x14ac:dyDescent="0.25">
      <c r="B20" s="23" t="s">
        <v>27</v>
      </c>
      <c r="C20" s="25">
        <f>PaymentPeriodsAM92*(1-((1+InterestRateAM92)^(-1/PaymentPeriodsAM92)))</f>
        <v>0.11279522468396097</v>
      </c>
      <c r="D20" s="100">
        <f>PthlyDiscountRateAM92-PthlyDiscountRate</f>
        <v>-3.4710698790980654E-2</v>
      </c>
      <c r="F20">
        <v>38</v>
      </c>
      <c r="G20" s="16">
        <v>0.99931499999999995</v>
      </c>
      <c r="H20" s="16">
        <v>0.99923200000000001</v>
      </c>
      <c r="I20" s="16">
        <v>0.99775000000000003</v>
      </c>
      <c r="J20" s="16"/>
      <c r="K20" s="17">
        <f t="shared" si="7"/>
        <v>52</v>
      </c>
      <c r="L20" s="17">
        <v>18</v>
      </c>
      <c r="M20" s="15">
        <f t="shared" si="1"/>
        <v>0.99426000000000003</v>
      </c>
      <c r="N20" s="15" t="str">
        <f t="shared" si="2"/>
        <v>18P35</v>
      </c>
      <c r="O20" s="18">
        <f t="shared" si="8"/>
        <v>0.94220769746793198</v>
      </c>
      <c r="P20" s="19">
        <f t="shared" si="5"/>
        <v>0.13003959011721547</v>
      </c>
      <c r="Q20" s="19">
        <f t="shared" si="6"/>
        <v>0.12252430278401523</v>
      </c>
      <c r="R20" s="20" t="str">
        <f t="shared" si="3"/>
        <v>-</v>
      </c>
      <c r="T20" s="21">
        <v>35</v>
      </c>
      <c r="U20" s="22" t="str">
        <f t="shared" si="0"/>
        <v>-</v>
      </c>
      <c r="W20" s="54">
        <f t="shared" si="4"/>
        <v>0.12252430278401523</v>
      </c>
    </row>
    <row r="21" spans="2:23" x14ac:dyDescent="0.25">
      <c r="D21" s="26"/>
      <c r="F21">
        <v>39</v>
      </c>
      <c r="G21" s="16">
        <v>0.99926700000000002</v>
      </c>
      <c r="H21" s="16">
        <v>0.99917699999999998</v>
      </c>
      <c r="I21" s="16">
        <v>0.99766999999999995</v>
      </c>
      <c r="J21" s="16"/>
      <c r="K21" s="17">
        <f t="shared" si="7"/>
        <v>53</v>
      </c>
      <c r="L21" s="17">
        <v>19</v>
      </c>
      <c r="M21" s="15">
        <f t="shared" si="1"/>
        <v>0.99372000000000005</v>
      </c>
      <c r="N21" s="15" t="str">
        <f t="shared" si="2"/>
        <v>19P35</v>
      </c>
      <c r="O21" s="18">
        <f t="shared" si="8"/>
        <v>0.93629063312783345</v>
      </c>
      <c r="P21" s="19">
        <f t="shared" si="5"/>
        <v>0.11610677689037097</v>
      </c>
      <c r="Q21" s="19">
        <f t="shared" si="6"/>
        <v>0.10870968764511753</v>
      </c>
      <c r="R21" s="20" t="str">
        <f t="shared" si="3"/>
        <v>-</v>
      </c>
      <c r="T21" s="21">
        <v>36</v>
      </c>
      <c r="U21" s="22" t="str">
        <f t="shared" si="0"/>
        <v>-</v>
      </c>
      <c r="W21" s="54">
        <f t="shared" si="4"/>
        <v>0.10870968764511753</v>
      </c>
    </row>
    <row r="22" spans="2:23" x14ac:dyDescent="0.25">
      <c r="C22" s="27"/>
      <c r="F22">
        <v>40</v>
      </c>
      <c r="G22" s="16">
        <v>0.99921199999999999</v>
      </c>
      <c r="H22" s="16">
        <v>0.99911300000000003</v>
      </c>
      <c r="I22" s="16">
        <v>0.99756</v>
      </c>
      <c r="J22" s="16"/>
      <c r="K22" s="17">
        <f t="shared" si="7"/>
        <v>54</v>
      </c>
      <c r="L22" s="17">
        <v>20</v>
      </c>
      <c r="M22" s="15">
        <f t="shared" si="1"/>
        <v>0.99314000000000002</v>
      </c>
      <c r="N22" s="15" t="str">
        <f t="shared" si="2"/>
        <v>20P35</v>
      </c>
      <c r="O22" s="18">
        <f t="shared" si="8"/>
        <v>0.92986767938457648</v>
      </c>
      <c r="P22" s="19">
        <f t="shared" si="5"/>
        <v>0.10366676508068835</v>
      </c>
      <c r="Q22" s="19">
        <f t="shared" si="6"/>
        <v>9.6396374274885732E-2</v>
      </c>
      <c r="R22" s="20" t="str">
        <f t="shared" si="3"/>
        <v>-</v>
      </c>
      <c r="T22" s="21">
        <v>37</v>
      </c>
      <c r="U22" s="22" t="str">
        <f t="shared" si="0"/>
        <v>-</v>
      </c>
      <c r="W22" s="54">
        <f t="shared" si="4"/>
        <v>9.6396374274885732E-2</v>
      </c>
    </row>
    <row r="23" spans="2:23" x14ac:dyDescent="0.25">
      <c r="B23" s="24" t="s">
        <v>28</v>
      </c>
      <c r="C23" s="28">
        <f>PthlyPresentValueFactorAM92*NYearProbabilitySurvivalAM92*(WholeLifeAnnuityAgeXPlusNAM92 - PthlyFactorAM92)</f>
        <v>2.6979629721730531</v>
      </c>
      <c r="D23" s="100">
        <f>PthlyWholeLifeAnnuityDeferrednYearsAM92-PthlyWholeLifeAnnuityDeferrednYears</f>
        <v>1.5950447282678737</v>
      </c>
      <c r="F23">
        <v>41</v>
      </c>
      <c r="G23" s="16">
        <v>0.99914899999999995</v>
      </c>
      <c r="H23" s="16">
        <v>0.99903799999999998</v>
      </c>
      <c r="I23" s="16">
        <v>0.99743999999999999</v>
      </c>
      <c r="J23" s="16"/>
      <c r="K23" s="17">
        <f t="shared" si="7"/>
        <v>55</v>
      </c>
      <c r="L23" s="17">
        <v>21</v>
      </c>
      <c r="M23" s="15">
        <f t="shared" si="1"/>
        <v>0.99250000000000005</v>
      </c>
      <c r="N23" s="15" t="str">
        <f t="shared" si="2"/>
        <v>21P35</v>
      </c>
      <c r="O23" s="18">
        <f t="shared" si="8"/>
        <v>0.92289367178919224</v>
      </c>
      <c r="P23" s="19">
        <f t="shared" si="5"/>
        <v>9.2559611679186027E-2</v>
      </c>
      <c r="Q23" s="19">
        <f t="shared" si="6"/>
        <v>8.5422679881985791E-2</v>
      </c>
      <c r="R23" s="20" t="str">
        <f t="shared" si="3"/>
        <v>-</v>
      </c>
      <c r="T23" s="21">
        <v>38</v>
      </c>
      <c r="U23" s="22" t="str">
        <f t="shared" si="0"/>
        <v>-</v>
      </c>
      <c r="W23" s="54">
        <f t="shared" si="4"/>
        <v>8.5422679881985791E-2</v>
      </c>
    </row>
    <row r="24" spans="2:23" x14ac:dyDescent="0.25">
      <c r="B24" s="29" t="s">
        <v>29</v>
      </c>
      <c r="C24" s="30">
        <f>(1-(PresentValueFactorAM92^TermNYearsAM92))/(PthlyDiscountRateAM92)</f>
        <v>6.0111300394946294</v>
      </c>
      <c r="D24" s="100">
        <f>PthlyAnnuityCertainAM92-PthlyAnnuityCertain</f>
        <v>0.76851755088791229</v>
      </c>
      <c r="F24">
        <v>42</v>
      </c>
      <c r="G24" s="16">
        <v>0.99907800000000002</v>
      </c>
      <c r="H24" s="16">
        <v>0.99895100000000003</v>
      </c>
      <c r="I24" s="16">
        <v>0.99727999999999994</v>
      </c>
      <c r="J24" s="16"/>
      <c r="K24" s="17">
        <f t="shared" si="7"/>
        <v>56</v>
      </c>
      <c r="L24" s="17">
        <v>22</v>
      </c>
      <c r="M24" s="15">
        <f t="shared" si="1"/>
        <v>0.99180000000000001</v>
      </c>
      <c r="N24" s="15" t="str">
        <f t="shared" si="2"/>
        <v>22P35</v>
      </c>
      <c r="O24" s="18">
        <f t="shared" si="8"/>
        <v>0.91532594368052089</v>
      </c>
      <c r="P24" s="19">
        <f t="shared" si="5"/>
        <v>8.2642510427844665E-2</v>
      </c>
      <c r="Q24" s="19">
        <f t="shared" si="6"/>
        <v>7.5644833845494211E-2</v>
      </c>
      <c r="R24" s="20" t="str">
        <f t="shared" si="3"/>
        <v>-</v>
      </c>
      <c r="T24" s="21">
        <v>39</v>
      </c>
      <c r="U24" s="22" t="str">
        <f t="shared" si="0"/>
        <v>-</v>
      </c>
      <c r="W24" s="54">
        <f t="shared" si="4"/>
        <v>7.5644833845494211E-2</v>
      </c>
    </row>
    <row r="25" spans="2:23" x14ac:dyDescent="0.25">
      <c r="B25" s="29" t="s">
        <v>30</v>
      </c>
      <c r="C25" s="31">
        <f>($C$5-1)/(2*$C$5)</f>
        <v>0.45833333333333331</v>
      </c>
      <c r="D25" s="100">
        <f>PthlyFactorAM92-PthlyFactor</f>
        <v>0</v>
      </c>
      <c r="F25">
        <v>43</v>
      </c>
      <c r="G25" s="16">
        <v>0.99899700000000002</v>
      </c>
      <c r="H25" s="16">
        <v>0.99885000000000002</v>
      </c>
      <c r="I25" s="16">
        <v>0.99714000000000003</v>
      </c>
      <c r="J25" s="16"/>
      <c r="K25" s="17">
        <f t="shared" si="7"/>
        <v>57</v>
      </c>
      <c r="L25" s="17">
        <v>23</v>
      </c>
      <c r="M25" s="15">
        <f t="shared" si="1"/>
        <v>0.99104000000000003</v>
      </c>
      <c r="N25" s="15" t="str">
        <f t="shared" si="2"/>
        <v>23P35</v>
      </c>
      <c r="O25" s="18">
        <f t="shared" si="8"/>
        <v>0.90712462322514342</v>
      </c>
      <c r="P25" s="19">
        <f t="shared" si="5"/>
        <v>7.378795573914701E-2</v>
      </c>
      <c r="Q25" s="19">
        <f t="shared" si="6"/>
        <v>6.6934871548427297E-2</v>
      </c>
      <c r="R25" s="20" t="str">
        <f t="shared" si="3"/>
        <v>-</v>
      </c>
      <c r="T25" s="21">
        <v>40</v>
      </c>
      <c r="U25" s="22" t="str">
        <f t="shared" si="0"/>
        <v>-</v>
      </c>
      <c r="W25" s="54">
        <f t="shared" si="4"/>
        <v>6.6934871548427297E-2</v>
      </c>
    </row>
    <row r="26" spans="2:23" x14ac:dyDescent="0.25">
      <c r="F26">
        <v>44</v>
      </c>
      <c r="G26" s="16">
        <v>0.99890400000000001</v>
      </c>
      <c r="H26" s="16">
        <v>0.99873299999999998</v>
      </c>
      <c r="I26" s="16">
        <v>0.99695999999999996</v>
      </c>
      <c r="J26" s="16"/>
      <c r="K26" s="17">
        <f>$K$3+L25</f>
        <v>58</v>
      </c>
      <c r="L26" s="17">
        <v>24</v>
      </c>
      <c r="M26" s="15">
        <f t="shared" si="1"/>
        <v>0.99021000000000003</v>
      </c>
      <c r="N26" s="15" t="str">
        <f t="shared" si="2"/>
        <v>24P35</v>
      </c>
      <c r="O26" s="18">
        <f t="shared" si="8"/>
        <v>0.8982438731637693</v>
      </c>
      <c r="P26" s="19">
        <f t="shared" si="5"/>
        <v>6.5882103338524123E-2</v>
      </c>
      <c r="Q26" s="19">
        <f t="shared" si="6"/>
        <v>5.9178195674971602E-2</v>
      </c>
      <c r="R26" s="20" t="str">
        <f t="shared" si="3"/>
        <v>-</v>
      </c>
      <c r="T26" s="21">
        <v>41</v>
      </c>
      <c r="U26" s="22" t="str">
        <f t="shared" si="0"/>
        <v>-</v>
      </c>
      <c r="W26" s="54">
        <f t="shared" si="4"/>
        <v>5.9178195674971602E-2</v>
      </c>
    </row>
    <row r="27" spans="2:23" x14ac:dyDescent="0.25">
      <c r="B27" s="24" t="s">
        <v>31</v>
      </c>
      <c r="F27">
        <v>45</v>
      </c>
      <c r="G27" s="16">
        <v>0.99879899999999999</v>
      </c>
      <c r="H27" s="16">
        <v>0.99859799999999999</v>
      </c>
      <c r="I27" s="16">
        <v>0.99675000000000002</v>
      </c>
      <c r="J27" s="16"/>
      <c r="K27" s="17">
        <f t="shared" si="7"/>
        <v>59</v>
      </c>
      <c r="L27" s="17">
        <v>25</v>
      </c>
      <c r="M27" s="15">
        <f t="shared" si="1"/>
        <v>0.98929999999999996</v>
      </c>
      <c r="N27" s="15" t="str">
        <f t="shared" si="2"/>
        <v>25P35</v>
      </c>
      <c r="O27" s="18">
        <f t="shared" si="8"/>
        <v>0.88863266372091698</v>
      </c>
      <c r="P27" s="19">
        <f t="shared" si="5"/>
        <v>5.8823306552253679E-2</v>
      </c>
      <c r="Q27" s="19">
        <f t="shared" si="6"/>
        <v>5.2272311590401258E-2</v>
      </c>
      <c r="R27" s="20" t="str">
        <f t="shared" si="3"/>
        <v>-</v>
      </c>
      <c r="T27" s="21">
        <v>42</v>
      </c>
      <c r="U27" s="22" t="str">
        <f t="shared" si="0"/>
        <v>-</v>
      </c>
      <c r="W27" s="54">
        <f t="shared" si="4"/>
        <v>5.2272311590401258E-2</v>
      </c>
    </row>
    <row r="28" spans="2:23" x14ac:dyDescent="0.25">
      <c r="F28">
        <v>46</v>
      </c>
      <c r="G28" s="16">
        <v>0.99868000000000001</v>
      </c>
      <c r="H28" s="16">
        <v>0.99844299999999997</v>
      </c>
      <c r="I28" s="16">
        <v>0.99650000000000005</v>
      </c>
      <c r="J28" s="16"/>
      <c r="K28" s="17">
        <f t="shared" si="7"/>
        <v>60</v>
      </c>
      <c r="L28" s="17">
        <v>26</v>
      </c>
      <c r="M28" s="15">
        <f t="shared" si="1"/>
        <v>0.98829999999999996</v>
      </c>
      <c r="N28" s="15" t="str">
        <f t="shared" si="2"/>
        <v>26P35</v>
      </c>
      <c r="O28" s="18">
        <f t="shared" si="8"/>
        <v>0.87823566155538224</v>
      </c>
      <c r="P28" s="19">
        <f t="shared" si="5"/>
        <v>5.2520809421655067E-2</v>
      </c>
      <c r="Q28" s="19">
        <f t="shared" si="6"/>
        <v>4.6125647807851389E-2</v>
      </c>
      <c r="R28" s="20" t="str">
        <f t="shared" si="3"/>
        <v>-</v>
      </c>
      <c r="T28" s="21">
        <v>43</v>
      </c>
      <c r="U28" s="22" t="str">
        <f t="shared" si="0"/>
        <v>-</v>
      </c>
      <c r="W28" s="54">
        <f t="shared" si="4"/>
        <v>4.6125647807851389E-2</v>
      </c>
    </row>
    <row r="29" spans="2:23" x14ac:dyDescent="0.25">
      <c r="B29" s="32" t="s">
        <v>32</v>
      </c>
      <c r="C29" s="33"/>
      <c r="F29">
        <v>47</v>
      </c>
      <c r="G29" s="16">
        <v>0.99854500000000002</v>
      </c>
      <c r="H29" s="16">
        <v>0.99826499999999996</v>
      </c>
      <c r="I29" s="16">
        <v>0.99622999999999995</v>
      </c>
      <c r="J29" s="16"/>
      <c r="K29" s="17">
        <f t="shared" si="7"/>
        <v>61</v>
      </c>
      <c r="L29" s="17">
        <v>27</v>
      </c>
      <c r="M29" s="15">
        <f t="shared" si="1"/>
        <v>0.98719999999999997</v>
      </c>
      <c r="N29" s="15" t="str">
        <f t="shared" si="2"/>
        <v>27P35</v>
      </c>
      <c r="O29" s="18">
        <f t="shared" si="8"/>
        <v>0.86699424508747336</v>
      </c>
      <c r="P29" s="19">
        <f t="shared" si="5"/>
        <v>4.689357984076345E-2</v>
      </c>
      <c r="Q29" s="19">
        <f t="shared" si="6"/>
        <v>4.0656463853491864E-2</v>
      </c>
      <c r="R29" s="20" t="str">
        <f t="shared" si="3"/>
        <v>-</v>
      </c>
      <c r="T29" s="21">
        <v>44</v>
      </c>
      <c r="U29" s="22" t="str">
        <f t="shared" si="0"/>
        <v>-</v>
      </c>
      <c r="W29" s="54">
        <f t="shared" si="4"/>
        <v>4.0656463853491864E-2</v>
      </c>
    </row>
    <row r="30" spans="2:23" x14ac:dyDescent="0.25">
      <c r="B30" t="s">
        <v>33</v>
      </c>
      <c r="C30" s="33">
        <f>PremiumAM92*0.01</f>
        <v>100000</v>
      </c>
      <c r="D30" s="35">
        <f>YearlyAdminExpAM92*SUM(W2:W105)</f>
        <v>902774.60554845876</v>
      </c>
      <c r="F30">
        <v>48</v>
      </c>
      <c r="G30" s="16">
        <v>0.99839299999999997</v>
      </c>
      <c r="H30" s="16">
        <v>0.998062</v>
      </c>
      <c r="I30" s="16">
        <v>0.99592000000000003</v>
      </c>
      <c r="J30" s="16"/>
      <c r="K30" s="17">
        <f t="shared" si="7"/>
        <v>62</v>
      </c>
      <c r="L30" s="17">
        <v>28</v>
      </c>
      <c r="M30" s="15">
        <f t="shared" si="1"/>
        <v>0.98599000000000003</v>
      </c>
      <c r="N30" s="15" t="str">
        <f t="shared" si="2"/>
        <v>28P35</v>
      </c>
      <c r="O30" s="18">
        <f t="shared" si="8"/>
        <v>0.85484765571379784</v>
      </c>
      <c r="P30" s="19">
        <f t="shared" si="5"/>
        <v>4.1869267714967365E-2</v>
      </c>
      <c r="Q30" s="19">
        <f t="shared" si="6"/>
        <v>3.5791845352593256E-2</v>
      </c>
      <c r="R30" s="20" t="str">
        <f t="shared" si="3"/>
        <v>-</v>
      </c>
      <c r="T30" s="21">
        <v>45</v>
      </c>
      <c r="U30" s="22" t="str">
        <f t="shared" si="0"/>
        <v>-</v>
      </c>
      <c r="W30" s="54">
        <f t="shared" si="4"/>
        <v>3.5791845352593256E-2</v>
      </c>
    </row>
    <row r="31" spans="2:23" x14ac:dyDescent="0.25">
      <c r="B31" t="s">
        <v>34</v>
      </c>
      <c r="C31" s="34">
        <v>1.4999999999999999E-2</v>
      </c>
      <c r="D31" s="35">
        <f>$C$35*C31</f>
        <v>150000</v>
      </c>
      <c r="F31">
        <v>49</v>
      </c>
      <c r="G31" s="16">
        <v>0.99822200000000005</v>
      </c>
      <c r="H31" s="16">
        <v>0.99782999999999999</v>
      </c>
      <c r="I31" s="16">
        <v>0.99556999999999995</v>
      </c>
      <c r="J31" s="16"/>
      <c r="K31" s="17">
        <f t="shared" si="7"/>
        <v>63</v>
      </c>
      <c r="L31" s="17">
        <v>29</v>
      </c>
      <c r="M31" s="15">
        <f t="shared" si="1"/>
        <v>0.98463999999999996</v>
      </c>
      <c r="N31" s="15" t="str">
        <f t="shared" si="2"/>
        <v>29P35</v>
      </c>
      <c r="O31" s="18">
        <f t="shared" si="8"/>
        <v>0.84171719572203385</v>
      </c>
      <c r="P31" s="19">
        <f t="shared" si="5"/>
        <v>3.7383274745506581E-2</v>
      </c>
      <c r="Q31" s="19">
        <f t="shared" si="6"/>
        <v>3.1466145185694128E-2</v>
      </c>
      <c r="R31" s="20" t="str">
        <f t="shared" si="3"/>
        <v>-</v>
      </c>
      <c r="T31" s="21">
        <v>46</v>
      </c>
      <c r="U31" s="22" t="str">
        <f t="shared" si="0"/>
        <v>-</v>
      </c>
      <c r="W31" s="54">
        <f t="shared" si="4"/>
        <v>3.1466145185694128E-2</v>
      </c>
    </row>
    <row r="32" spans="2:23" x14ac:dyDescent="0.25">
      <c r="B32" t="s">
        <v>35</v>
      </c>
      <c r="C32" s="34">
        <v>0.1</v>
      </c>
      <c r="D32" s="35">
        <f>$C$35*C32</f>
        <v>1000000</v>
      </c>
      <c r="F32">
        <v>50</v>
      </c>
      <c r="G32" s="16">
        <v>0.99802900000000005</v>
      </c>
      <c r="H32" s="16">
        <v>0.99756599999999995</v>
      </c>
      <c r="I32" s="16">
        <v>0.99517999999999995</v>
      </c>
      <c r="J32" s="16"/>
      <c r="K32" s="17">
        <f t="shared" si="7"/>
        <v>64</v>
      </c>
      <c r="L32" s="17">
        <v>30</v>
      </c>
      <c r="M32" s="15">
        <f t="shared" si="1"/>
        <v>0.98316000000000003</v>
      </c>
      <c r="N32" s="15" t="str">
        <f t="shared" si="2"/>
        <v>30P35</v>
      </c>
      <c r="O32" s="18">
        <f t="shared" si="8"/>
        <v>0.82754267814607485</v>
      </c>
      <c r="P32" s="19">
        <f t="shared" si="5"/>
        <v>3.3377923879916588E-2</v>
      </c>
      <c r="Q32" s="19">
        <f t="shared" si="6"/>
        <v>2.7621656518541999E-2</v>
      </c>
      <c r="R32" s="20" t="str">
        <f t="shared" si="3"/>
        <v>-</v>
      </c>
      <c r="T32" s="21">
        <v>47</v>
      </c>
      <c r="U32" s="22" t="str">
        <f t="shared" si="0"/>
        <v>-</v>
      </c>
      <c r="W32" s="54">
        <f t="shared" si="4"/>
        <v>2.7621656518541999E-2</v>
      </c>
    </row>
    <row r="33" spans="2:23" x14ac:dyDescent="0.25">
      <c r="B33" t="s">
        <v>36</v>
      </c>
      <c r="C33" s="34">
        <v>0</v>
      </c>
      <c r="D33" s="33">
        <f>PremiumAM92*C33</f>
        <v>0</v>
      </c>
      <c r="F33">
        <v>51</v>
      </c>
      <c r="G33" s="16">
        <v>0.997811</v>
      </c>
      <c r="H33" s="16">
        <v>0.99726800000000004</v>
      </c>
      <c r="I33" s="16">
        <v>0.99473999999999996</v>
      </c>
      <c r="J33" s="16"/>
      <c r="K33" s="17">
        <f t="shared" si="7"/>
        <v>65</v>
      </c>
      <c r="L33" s="17">
        <v>31</v>
      </c>
      <c r="M33" s="15">
        <f t="shared" si="1"/>
        <v>0.98153000000000001</v>
      </c>
      <c r="N33" s="15" t="str">
        <f t="shared" si="2"/>
        <v>31P35</v>
      </c>
      <c r="O33" s="18">
        <f t="shared" si="8"/>
        <v>0.81225796488071689</v>
      </c>
      <c r="P33" s="19">
        <f t="shared" si="5"/>
        <v>2.9801717749925519E-2</v>
      </c>
      <c r="Q33" s="19">
        <f t="shared" si="6"/>
        <v>2.4206682609504041E-2</v>
      </c>
      <c r="R33" s="20" t="str">
        <f t="shared" si="3"/>
        <v>-</v>
      </c>
      <c r="T33" s="21">
        <v>48</v>
      </c>
      <c r="U33" s="22" t="str">
        <f t="shared" si="0"/>
        <v>-</v>
      </c>
      <c r="W33" s="54">
        <f t="shared" si="4"/>
        <v>2.4206682609504041E-2</v>
      </c>
    </row>
    <row r="34" spans="2:23" x14ac:dyDescent="0.25">
      <c r="F34">
        <v>52</v>
      </c>
      <c r="G34" s="16">
        <v>0.99756699999999998</v>
      </c>
      <c r="H34" s="16">
        <v>0.99692999999999998</v>
      </c>
      <c r="I34" s="16">
        <v>0.99426000000000003</v>
      </c>
      <c r="J34" s="16"/>
      <c r="K34" s="17">
        <f t="shared" si="7"/>
        <v>66</v>
      </c>
      <c r="L34" s="17">
        <v>32</v>
      </c>
      <c r="M34" s="15">
        <f t="shared" si="1"/>
        <v>0.97972999999999999</v>
      </c>
      <c r="N34" s="15" t="str">
        <f t="shared" si="2"/>
        <v>32P35</v>
      </c>
      <c r="O34" s="18">
        <f t="shared" si="8"/>
        <v>0.79579349593258475</v>
      </c>
      <c r="P34" s="19">
        <f t="shared" si="5"/>
        <v>2.6608676562433497E-2</v>
      </c>
      <c r="Q34" s="19">
        <f t="shared" si="6"/>
        <v>2.1175011743758385E-2</v>
      </c>
      <c r="R34" s="20" t="str">
        <f t="shared" si="3"/>
        <v>-</v>
      </c>
      <c r="T34" s="21">
        <v>49</v>
      </c>
      <c r="U34" s="22" t="str">
        <f t="shared" si="0"/>
        <v>-</v>
      </c>
      <c r="W34" s="54">
        <f t="shared" si="4"/>
        <v>2.1175011743758385E-2</v>
      </c>
    </row>
    <row r="35" spans="2:23" x14ac:dyDescent="0.25">
      <c r="B35" t="s">
        <v>37</v>
      </c>
      <c r="C35" s="33">
        <v>10000000</v>
      </c>
      <c r="F35">
        <v>53</v>
      </c>
      <c r="G35" s="16">
        <v>0.99729299999999999</v>
      </c>
      <c r="H35" s="16">
        <v>0.99654799999999999</v>
      </c>
      <c r="I35" s="16">
        <v>0.99372000000000005</v>
      </c>
      <c r="J35" s="16"/>
      <c r="K35" s="17">
        <f t="shared" si="7"/>
        <v>67</v>
      </c>
      <c r="L35" s="17">
        <v>33</v>
      </c>
      <c r="M35" s="15">
        <f t="shared" ref="M35:M66" si="9">IFERROR(VLOOKUP($C$7+L34,$F$2:$I$105,4,FALSE),"0")</f>
        <v>0.97775999999999996</v>
      </c>
      <c r="N35" s="15" t="str">
        <f t="shared" si="2"/>
        <v>33P35</v>
      </c>
      <c r="O35" s="18">
        <f t="shared" si="8"/>
        <v>0.77809504858304401</v>
      </c>
      <c r="P35" s="19">
        <f t="shared" si="5"/>
        <v>2.3757746930744193E-2</v>
      </c>
      <c r="Q35" s="19">
        <f t="shared" si="6"/>
        <v>1.8485785252301067E-2</v>
      </c>
      <c r="R35" s="20" t="str">
        <f t="shared" si="3"/>
        <v>-</v>
      </c>
      <c r="T35" s="21">
        <v>50</v>
      </c>
      <c r="U35" s="22" t="str">
        <f t="shared" si="0"/>
        <v>-</v>
      </c>
      <c r="W35" s="54">
        <f t="shared" si="4"/>
        <v>1.8485785252301067E-2</v>
      </c>
    </row>
    <row r="36" spans="2:23" x14ac:dyDescent="0.25">
      <c r="B36" t="s">
        <v>38</v>
      </c>
      <c r="C36" s="35">
        <f>(PremiumAM92-D31-D32)</f>
        <v>8850000</v>
      </c>
      <c r="F36">
        <v>54</v>
      </c>
      <c r="G36" s="16">
        <v>0.99698600000000004</v>
      </c>
      <c r="H36" s="16">
        <v>0.99611899999999998</v>
      </c>
      <c r="I36" s="16">
        <v>0.99314000000000002</v>
      </c>
      <c r="J36" s="16"/>
      <c r="K36" s="17">
        <f t="shared" si="7"/>
        <v>68</v>
      </c>
      <c r="L36" s="17">
        <v>34</v>
      </c>
      <c r="M36" s="15">
        <f t="shared" si="9"/>
        <v>0.97560000000000002</v>
      </c>
      <c r="N36" s="15" t="str">
        <f t="shared" si="2"/>
        <v>34P35</v>
      </c>
      <c r="O36" s="18">
        <f t="shared" si="8"/>
        <v>0.75910952939761778</v>
      </c>
      <c r="P36" s="19">
        <f t="shared" si="5"/>
        <v>2.1212274045307313E-2</v>
      </c>
      <c r="Q36" s="19">
        <f t="shared" si="6"/>
        <v>1.6102439367986537E-2</v>
      </c>
      <c r="R36" s="20" t="str">
        <f t="shared" si="3"/>
        <v>-</v>
      </c>
      <c r="T36" s="21">
        <v>51</v>
      </c>
      <c r="U36" s="22" t="str">
        <f t="shared" si="0"/>
        <v>-</v>
      </c>
      <c r="W36" s="54">
        <f t="shared" si="4"/>
        <v>1.6102439367986537E-2</v>
      </c>
    </row>
    <row r="37" spans="2:23" x14ac:dyDescent="0.25">
      <c r="B37" t="s">
        <v>39</v>
      </c>
      <c r="C37" s="98">
        <f>PthlyAnnuityCertainAM92+PthlyWholeLifeAnnuityDeferrednYearsAM92</f>
        <v>8.709093011667683</v>
      </c>
      <c r="D37" s="99">
        <f>EPVAnnuityGuaranteeddAM92-EPVAnnuityGuaranteed</f>
        <v>2.3635622791557864</v>
      </c>
      <c r="F37">
        <v>55</v>
      </c>
      <c r="G37" s="16">
        <v>0.99664200000000003</v>
      </c>
      <c r="H37" s="16">
        <v>0.99563699999999999</v>
      </c>
      <c r="I37" s="16">
        <v>0.99250000000000005</v>
      </c>
      <c r="J37" s="16"/>
      <c r="K37" s="17">
        <f t="shared" si="7"/>
        <v>69</v>
      </c>
      <c r="L37" s="17">
        <v>35</v>
      </c>
      <c r="M37" s="15">
        <f t="shared" si="9"/>
        <v>0.97324999999999995</v>
      </c>
      <c r="N37" s="15" t="str">
        <f t="shared" si="2"/>
        <v>35P35</v>
      </c>
      <c r="O37" s="18">
        <f t="shared" si="8"/>
        <v>0.7388033494862315</v>
      </c>
      <c r="P37" s="19">
        <f t="shared" si="5"/>
        <v>1.8939530397595813E-2</v>
      </c>
      <c r="Q37" s="19">
        <f t="shared" si="6"/>
        <v>1.3992588495440085E-2</v>
      </c>
      <c r="R37" s="20" t="str">
        <f t="shared" si="3"/>
        <v>-</v>
      </c>
      <c r="T37" s="21">
        <v>52</v>
      </c>
      <c r="U37" s="22" t="str">
        <f t="shared" si="0"/>
        <v>-</v>
      </c>
      <c r="W37" s="54">
        <f t="shared" si="4"/>
        <v>1.3992588495440085E-2</v>
      </c>
    </row>
    <row r="38" spans="2:23" x14ac:dyDescent="0.25">
      <c r="F38">
        <v>56</v>
      </c>
      <c r="G38" s="16">
        <v>0.99625799999999998</v>
      </c>
      <c r="H38" s="16">
        <v>0.99509700000000001</v>
      </c>
      <c r="I38" s="16">
        <v>0.99180000000000001</v>
      </c>
      <c r="J38" s="16"/>
      <c r="K38" s="17">
        <f t="shared" si="7"/>
        <v>70</v>
      </c>
      <c r="L38" s="17">
        <v>36</v>
      </c>
      <c r="M38" s="15">
        <f t="shared" si="9"/>
        <v>0.97067999999999999</v>
      </c>
      <c r="N38" s="15" t="str">
        <f t="shared" si="2"/>
        <v>36P35</v>
      </c>
      <c r="O38" s="18">
        <f t="shared" si="8"/>
        <v>0.7171416352792952</v>
      </c>
      <c r="P38" s="19">
        <f t="shared" si="5"/>
        <v>1.6910294997853407E-2</v>
      </c>
      <c r="Q38" s="19">
        <f t="shared" si="6"/>
        <v>1.2127076607815878E-2</v>
      </c>
      <c r="R38" s="20" t="str">
        <f t="shared" si="3"/>
        <v>-</v>
      </c>
      <c r="T38" s="21">
        <v>53</v>
      </c>
      <c r="U38" s="22" t="str">
        <f t="shared" si="0"/>
        <v>-</v>
      </c>
      <c r="W38" s="54">
        <f t="shared" si="4"/>
        <v>1.2127076607815878E-2</v>
      </c>
    </row>
    <row r="39" spans="2:23" x14ac:dyDescent="0.25">
      <c r="F39">
        <v>57</v>
      </c>
      <c r="G39" s="16">
        <v>0.99582899999999996</v>
      </c>
      <c r="H39" s="16">
        <v>0.99449299999999996</v>
      </c>
      <c r="I39" s="16">
        <v>0.99104000000000003</v>
      </c>
      <c r="J39" s="16"/>
      <c r="K39" s="17">
        <f t="shared" si="7"/>
        <v>71</v>
      </c>
      <c r="L39" s="17">
        <v>37</v>
      </c>
      <c r="M39" s="15">
        <f t="shared" si="9"/>
        <v>0.96789000000000003</v>
      </c>
      <c r="N39" s="15" t="str">
        <f t="shared" si="2"/>
        <v>37P35</v>
      </c>
      <c r="O39" s="18">
        <f t="shared" si="8"/>
        <v>0.69411421737047707</v>
      </c>
      <c r="P39" s="19">
        <f t="shared" si="5"/>
        <v>1.5098477676654827E-2</v>
      </c>
      <c r="Q39" s="19">
        <f t="shared" si="6"/>
        <v>1.0480068016016884E-2</v>
      </c>
      <c r="R39" s="20" t="str">
        <f t="shared" si="3"/>
        <v>-</v>
      </c>
      <c r="T39" s="21">
        <v>54</v>
      </c>
      <c r="U39" s="22" t="str">
        <f t="shared" si="0"/>
        <v>-</v>
      </c>
      <c r="W39" s="54">
        <f t="shared" si="4"/>
        <v>1.0480068016016884E-2</v>
      </c>
    </row>
    <row r="40" spans="2:23" x14ac:dyDescent="0.25">
      <c r="B40" t="s">
        <v>40</v>
      </c>
      <c r="C40" s="35">
        <f>C36/EPVAnnuityGuaranteeddAM92</f>
        <v>1016179.2953805341</v>
      </c>
      <c r="D40" s="35"/>
      <c r="F40">
        <v>58</v>
      </c>
      <c r="G40" s="16">
        <v>0.99535099999999999</v>
      </c>
      <c r="H40" s="16">
        <v>0.99382000000000004</v>
      </c>
      <c r="I40" s="16">
        <v>0.99021000000000003</v>
      </c>
      <c r="J40" s="16"/>
      <c r="K40" s="17">
        <f t="shared" si="7"/>
        <v>72</v>
      </c>
      <c r="L40" s="17">
        <v>38</v>
      </c>
      <c r="M40" s="15">
        <f t="shared" si="9"/>
        <v>0.96487000000000001</v>
      </c>
      <c r="N40" s="15" t="str">
        <f t="shared" si="2"/>
        <v>38P35</v>
      </c>
      <c r="O40" s="18">
        <f t="shared" si="8"/>
        <v>0.66972998491425217</v>
      </c>
      <c r="P40" s="19">
        <f t="shared" si="5"/>
        <v>1.348078363987038E-2</v>
      </c>
      <c r="Q40" s="19">
        <f t="shared" si="6"/>
        <v>9.0284850237626873E-3</v>
      </c>
      <c r="R40" s="20" t="str">
        <f t="shared" si="3"/>
        <v>-</v>
      </c>
      <c r="T40" s="21">
        <v>55</v>
      </c>
      <c r="U40" s="22" t="str">
        <f t="shared" si="0"/>
        <v>-</v>
      </c>
      <c r="W40" s="54">
        <f t="shared" si="4"/>
        <v>9.0284850237626873E-3</v>
      </c>
    </row>
    <row r="41" spans="2:23" x14ac:dyDescent="0.25">
      <c r="F41">
        <v>59</v>
      </c>
      <c r="G41" s="16">
        <v>0.99481799999999998</v>
      </c>
      <c r="H41" s="16">
        <v>0.99307100000000004</v>
      </c>
      <c r="I41" s="16">
        <v>0.98929999999999996</v>
      </c>
      <c r="J41" s="16"/>
      <c r="K41" s="17">
        <f t="shared" si="7"/>
        <v>73</v>
      </c>
      <c r="L41" s="17">
        <v>39</v>
      </c>
      <c r="M41" s="15">
        <f t="shared" si="9"/>
        <v>0.96160000000000001</v>
      </c>
      <c r="N41" s="15" t="str">
        <f t="shared" si="2"/>
        <v>39P35</v>
      </c>
      <c r="O41" s="18">
        <f t="shared" si="8"/>
        <v>0.64401235349354491</v>
      </c>
      <c r="P41" s="19">
        <f t="shared" si="5"/>
        <v>1.2036413964169981E-2</v>
      </c>
      <c r="Q41" s="19">
        <f t="shared" si="6"/>
        <v>7.7515992846876776E-3</v>
      </c>
      <c r="R41" s="20" t="str">
        <f t="shared" si="3"/>
        <v>-</v>
      </c>
      <c r="T41" s="21">
        <v>56</v>
      </c>
      <c r="U41" s="22" t="str">
        <f t="shared" si="0"/>
        <v>-</v>
      </c>
      <c r="W41" s="54">
        <f t="shared" si="4"/>
        <v>7.7515992846876776E-3</v>
      </c>
    </row>
    <row r="42" spans="2:23" x14ac:dyDescent="0.25">
      <c r="D42" s="35"/>
      <c r="F42">
        <v>60</v>
      </c>
      <c r="G42" s="16">
        <v>0.99422600000000005</v>
      </c>
      <c r="H42" s="16">
        <v>0.99224000000000001</v>
      </c>
      <c r="I42" s="16">
        <v>0.98829999999999996</v>
      </c>
      <c r="J42" s="16"/>
      <c r="K42" s="17">
        <f t="shared" si="7"/>
        <v>74</v>
      </c>
      <c r="L42" s="17">
        <v>40</v>
      </c>
      <c r="M42" s="15">
        <f t="shared" si="9"/>
        <v>0.95808000000000004</v>
      </c>
      <c r="N42" s="15" t="str">
        <f t="shared" si="2"/>
        <v>40P35</v>
      </c>
      <c r="O42" s="18">
        <f t="shared" si="8"/>
        <v>0.61701535563509557</v>
      </c>
      <c r="P42" s="19">
        <f t="shared" si="5"/>
        <v>1.0746798182294626E-2</v>
      </c>
      <c r="Q42" s="19">
        <f t="shared" si="6"/>
        <v>6.6309395023871169E-3</v>
      </c>
      <c r="R42" s="20" t="str">
        <f t="shared" si="3"/>
        <v>-</v>
      </c>
      <c r="T42" s="21">
        <v>57</v>
      </c>
      <c r="U42" s="22" t="str">
        <f t="shared" si="0"/>
        <v>-</v>
      </c>
      <c r="W42" s="54">
        <f t="shared" si="4"/>
        <v>6.6309395023871169E-3</v>
      </c>
    </row>
    <row r="43" spans="2:23" x14ac:dyDescent="0.25">
      <c r="B43" t="s">
        <v>41</v>
      </c>
      <c r="C43" s="33" t="str">
        <f>IF(PaymentPeriodsAM92=1,$C$40,"-")</f>
        <v>-</v>
      </c>
      <c r="D43" s="35"/>
      <c r="F43">
        <v>61</v>
      </c>
      <c r="G43" s="16">
        <v>0.99356699999999998</v>
      </c>
      <c r="H43" s="16">
        <v>0.99131999999999998</v>
      </c>
      <c r="I43" s="16">
        <v>0.98719999999999997</v>
      </c>
      <c r="J43" s="16"/>
      <c r="K43" s="17">
        <f t="shared" si="7"/>
        <v>75</v>
      </c>
      <c r="L43" s="17">
        <v>41</v>
      </c>
      <c r="M43" s="15">
        <f t="shared" si="9"/>
        <v>0.95428000000000002</v>
      </c>
      <c r="N43" s="15" t="str">
        <f t="shared" si="2"/>
        <v>41P35</v>
      </c>
      <c r="O43" s="18">
        <f t="shared" si="8"/>
        <v>0.58880541357545901</v>
      </c>
      <c r="P43" s="19">
        <f t="shared" si="5"/>
        <v>9.5953555199059151E-3</v>
      </c>
      <c r="Q43" s="19">
        <f t="shared" si="6"/>
        <v>5.6497972753017656E-3</v>
      </c>
      <c r="R43" s="20" t="str">
        <f t="shared" si="3"/>
        <v>-</v>
      </c>
      <c r="T43" s="21">
        <v>58</v>
      </c>
      <c r="U43" s="22" t="str">
        <f t="shared" si="0"/>
        <v>-</v>
      </c>
      <c r="W43" s="54">
        <f t="shared" si="4"/>
        <v>5.6497972753017656E-3</v>
      </c>
    </row>
    <row r="44" spans="2:23" x14ac:dyDescent="0.25">
      <c r="B44" t="s">
        <v>42</v>
      </c>
      <c r="C44" s="33" t="str">
        <f>IF(PaymentPeriodsAM92=2,($C$40/2),"-")</f>
        <v>-</v>
      </c>
      <c r="F44">
        <v>62</v>
      </c>
      <c r="G44" s="16">
        <v>0.99283600000000005</v>
      </c>
      <c r="H44" s="16">
        <v>0.99030399999999996</v>
      </c>
      <c r="I44" s="16">
        <v>0.98599000000000003</v>
      </c>
      <c r="J44" s="16"/>
      <c r="K44" s="17">
        <f t="shared" si="7"/>
        <v>76</v>
      </c>
      <c r="L44" s="17">
        <v>42</v>
      </c>
      <c r="M44" s="15">
        <f t="shared" si="9"/>
        <v>0.95020000000000004</v>
      </c>
      <c r="N44" s="15" t="str">
        <f t="shared" si="2"/>
        <v>42P35</v>
      </c>
      <c r="O44" s="18">
        <f t="shared" si="8"/>
        <v>0.55948290397940115</v>
      </c>
      <c r="P44" s="19">
        <f t="shared" si="5"/>
        <v>8.5672817142017112E-3</v>
      </c>
      <c r="Q44" s="19">
        <f t="shared" si="6"/>
        <v>4.7932476526711953E-3</v>
      </c>
      <c r="R44" s="20" t="str">
        <f t="shared" si="3"/>
        <v>-</v>
      </c>
      <c r="T44" s="21">
        <v>59</v>
      </c>
      <c r="U44" s="22" t="str">
        <f t="shared" si="0"/>
        <v>-</v>
      </c>
      <c r="W44" s="54">
        <f t="shared" si="4"/>
        <v>4.7932476526711953E-3</v>
      </c>
    </row>
    <row r="45" spans="2:23" x14ac:dyDescent="0.25">
      <c r="B45" t="s">
        <v>43</v>
      </c>
      <c r="C45" s="33" t="str">
        <f>IF(PaymentPeriodsAM92=4,($C$40/4),"-")</f>
        <v>-</v>
      </c>
      <c r="F45">
        <v>63</v>
      </c>
      <c r="G45" s="16">
        <v>0.99202599999999996</v>
      </c>
      <c r="H45" s="16">
        <v>0.98918499999999998</v>
      </c>
      <c r="I45" s="16">
        <v>0.98463999999999996</v>
      </c>
      <c r="J45" s="16"/>
      <c r="K45" s="17">
        <f t="shared" si="7"/>
        <v>77</v>
      </c>
      <c r="L45" s="17">
        <v>43</v>
      </c>
      <c r="M45" s="15">
        <f t="shared" si="9"/>
        <v>0.94581000000000004</v>
      </c>
      <c r="N45" s="15" t="str">
        <f t="shared" si="2"/>
        <v>43P35</v>
      </c>
      <c r="O45" s="18">
        <f t="shared" si="8"/>
        <v>0.52916452541275738</v>
      </c>
      <c r="P45" s="19">
        <f t="shared" si="5"/>
        <v>7.6493586733943839E-3</v>
      </c>
      <c r="Q45" s="19">
        <f t="shared" si="6"/>
        <v>4.0477692521186989E-3</v>
      </c>
      <c r="R45" s="20" t="str">
        <f t="shared" si="3"/>
        <v>-</v>
      </c>
      <c r="T45" s="21">
        <v>60</v>
      </c>
      <c r="U45" s="22" t="str">
        <f t="shared" si="0"/>
        <v>-</v>
      </c>
      <c r="W45" s="54">
        <f t="shared" si="4"/>
        <v>4.0477692521186989E-3</v>
      </c>
    </row>
    <row r="46" spans="2:23" x14ac:dyDescent="0.25">
      <c r="B46" t="s">
        <v>44</v>
      </c>
      <c r="C46" s="33">
        <f>IF(PaymentPeriodsAM92=12,($C$40/12),"-")</f>
        <v>84681.607948377845</v>
      </c>
      <c r="F46">
        <v>64</v>
      </c>
      <c r="G46" s="16">
        <v>0.99112900000000004</v>
      </c>
      <c r="H46" s="16">
        <v>0.987954</v>
      </c>
      <c r="I46" s="16">
        <v>0.98316000000000003</v>
      </c>
      <c r="J46" s="16"/>
      <c r="K46" s="17">
        <f t="shared" si="7"/>
        <v>78</v>
      </c>
      <c r="L46" s="17">
        <v>44</v>
      </c>
      <c r="M46" s="15">
        <f t="shared" si="9"/>
        <v>0.94106000000000001</v>
      </c>
      <c r="N46" s="15" t="str">
        <f t="shared" si="2"/>
        <v>44P35</v>
      </c>
      <c r="O46" s="18">
        <f t="shared" si="8"/>
        <v>0.49797556828492945</v>
      </c>
      <c r="P46" s="19">
        <f t="shared" si="5"/>
        <v>6.829784529816414E-3</v>
      </c>
      <c r="Q46" s="19">
        <f t="shared" si="6"/>
        <v>3.4010658324989482E-3</v>
      </c>
      <c r="R46" s="20" t="str">
        <f t="shared" si="3"/>
        <v>-</v>
      </c>
      <c r="T46" s="21">
        <v>61</v>
      </c>
      <c r="U46" s="22" t="str">
        <f t="shared" si="0"/>
        <v>-</v>
      </c>
      <c r="W46" s="54">
        <f t="shared" si="4"/>
        <v>3.4010658324989482E-3</v>
      </c>
    </row>
    <row r="47" spans="2:23" x14ac:dyDescent="0.25">
      <c r="C47" s="35"/>
      <c r="F47">
        <v>65</v>
      </c>
      <c r="G47" s="16">
        <v>0.99013600000000002</v>
      </c>
      <c r="H47" s="16">
        <v>0.98660400000000004</v>
      </c>
      <c r="I47" s="16">
        <v>0.98153000000000001</v>
      </c>
      <c r="J47" s="16"/>
      <c r="K47" s="17">
        <f t="shared" si="7"/>
        <v>79</v>
      </c>
      <c r="L47" s="17">
        <v>45</v>
      </c>
      <c r="M47" s="15">
        <f t="shared" si="9"/>
        <v>0.93589</v>
      </c>
      <c r="N47" s="15" t="str">
        <f t="shared" si="2"/>
        <v>45P35</v>
      </c>
      <c r="O47" s="18">
        <f t="shared" si="8"/>
        <v>0.46605035460218264</v>
      </c>
      <c r="P47" s="19">
        <f t="shared" si="5"/>
        <v>6.0980219016217984E-3</v>
      </c>
      <c r="Q47" s="19">
        <f t="shared" si="6"/>
        <v>2.8419852696227152E-3</v>
      </c>
      <c r="R47" s="20" t="str">
        <f t="shared" si="3"/>
        <v>-</v>
      </c>
      <c r="T47" s="21">
        <v>62</v>
      </c>
      <c r="U47" s="22" t="str">
        <f t="shared" si="0"/>
        <v>-</v>
      </c>
      <c r="W47" s="54">
        <f t="shared" si="4"/>
        <v>2.8419852696227152E-3</v>
      </c>
    </row>
    <row r="48" spans="2:23" x14ac:dyDescent="0.25">
      <c r="F48">
        <v>66</v>
      </c>
      <c r="G48" s="16">
        <v>0.98904000000000003</v>
      </c>
      <c r="H48" s="16">
        <v>0.98512699999999997</v>
      </c>
      <c r="I48" s="16">
        <v>0.97972999999999999</v>
      </c>
      <c r="J48" s="16"/>
      <c r="K48" s="17">
        <f t="shared" si="7"/>
        <v>80</v>
      </c>
      <c r="L48" s="17">
        <v>46</v>
      </c>
      <c r="M48" s="15">
        <f t="shared" si="9"/>
        <v>0.93025999999999998</v>
      </c>
      <c r="N48" s="15" t="str">
        <f t="shared" si="2"/>
        <v>46P35</v>
      </c>
      <c r="O48" s="18">
        <f t="shared" si="8"/>
        <v>0.43354800287222639</v>
      </c>
      <c r="P48" s="19">
        <f t="shared" si="5"/>
        <v>5.4446624121623193E-3</v>
      </c>
      <c r="Q48" s="19">
        <f t="shared" si="6"/>
        <v>2.3605225151064522E-3</v>
      </c>
      <c r="R48" s="20" t="str">
        <f t="shared" si="3"/>
        <v>-</v>
      </c>
      <c r="T48" s="21">
        <v>63</v>
      </c>
      <c r="U48" s="22" t="str">
        <f t="shared" si="0"/>
        <v>-</v>
      </c>
      <c r="W48" s="54">
        <f t="shared" si="4"/>
        <v>2.3605225151064522E-3</v>
      </c>
    </row>
    <row r="49" spans="2:23" x14ac:dyDescent="0.25">
      <c r="F49">
        <v>67</v>
      </c>
      <c r="G49" s="16">
        <v>0.98783100000000001</v>
      </c>
      <c r="H49" s="16">
        <v>0.98351600000000006</v>
      </c>
      <c r="I49" s="16">
        <v>0.97775999999999996</v>
      </c>
      <c r="J49" s="16"/>
      <c r="K49" s="17">
        <f t="shared" si="7"/>
        <v>81</v>
      </c>
      <c r="L49" s="17">
        <v>47</v>
      </c>
      <c r="M49" s="15">
        <f t="shared" si="9"/>
        <v>0.92412000000000005</v>
      </c>
      <c r="N49" s="15" t="str">
        <f t="shared" si="2"/>
        <v>47P35</v>
      </c>
      <c r="O49" s="18">
        <f t="shared" si="8"/>
        <v>0.40065038041428186</v>
      </c>
      <c r="P49" s="19">
        <f t="shared" si="5"/>
        <v>4.8613057251449274E-3</v>
      </c>
      <c r="Q49" s="19">
        <f t="shared" si="6"/>
        <v>1.9476839880894414E-3</v>
      </c>
      <c r="R49" s="20" t="str">
        <f t="shared" si="3"/>
        <v>-</v>
      </c>
      <c r="T49" s="21">
        <v>64</v>
      </c>
      <c r="U49" s="22" t="str">
        <f t="shared" si="0"/>
        <v>-</v>
      </c>
      <c r="W49" s="54">
        <f t="shared" si="4"/>
        <v>1.9476839880894414E-3</v>
      </c>
    </row>
    <row r="50" spans="2:23" x14ac:dyDescent="0.25">
      <c r="F50">
        <v>68</v>
      </c>
      <c r="G50" s="16">
        <v>0.98649799999999999</v>
      </c>
      <c r="H50" s="16">
        <v>0.98176099999999999</v>
      </c>
      <c r="I50" s="16">
        <v>0.97560000000000002</v>
      </c>
      <c r="J50" s="16"/>
      <c r="K50" s="17">
        <f t="shared" si="7"/>
        <v>82</v>
      </c>
      <c r="L50" s="17">
        <v>48</v>
      </c>
      <c r="M50" s="15">
        <f t="shared" si="9"/>
        <v>0.91741000000000006</v>
      </c>
      <c r="N50" s="15" t="str">
        <f t="shared" si="2"/>
        <v>48P35</v>
      </c>
      <c r="O50" s="18">
        <f t="shared" si="8"/>
        <v>0.36756066549586636</v>
      </c>
      <c r="P50" s="19">
        <f t="shared" si="5"/>
        <v>4.3404515403079706E-3</v>
      </c>
      <c r="Q50" s="19">
        <f t="shared" si="6"/>
        <v>1.5953792567081559E-3</v>
      </c>
      <c r="R50" s="20" t="str">
        <f t="shared" si="3"/>
        <v>-</v>
      </c>
      <c r="T50" s="21">
        <v>65</v>
      </c>
      <c r="U50" s="22" t="str">
        <f t="shared" si="0"/>
        <v>-</v>
      </c>
      <c r="W50" s="54">
        <f t="shared" si="4"/>
        <v>1.5953792567081559E-3</v>
      </c>
    </row>
    <row r="51" spans="2:23" x14ac:dyDescent="0.25">
      <c r="F51">
        <v>69</v>
      </c>
      <c r="G51" s="16">
        <v>0.98503099999999999</v>
      </c>
      <c r="H51" s="16">
        <v>0.97985500000000003</v>
      </c>
      <c r="I51" s="16">
        <v>0.97324999999999995</v>
      </c>
      <c r="J51" s="16"/>
      <c r="K51" s="17">
        <f t="shared" si="7"/>
        <v>83</v>
      </c>
      <c r="L51" s="17">
        <v>49</v>
      </c>
      <c r="M51" s="15">
        <f t="shared" si="9"/>
        <v>0.91008</v>
      </c>
      <c r="N51" s="15" t="str">
        <f t="shared" si="2"/>
        <v>49P35</v>
      </c>
      <c r="O51" s="18">
        <f t="shared" si="8"/>
        <v>0.33450961045447808</v>
      </c>
      <c r="P51" s="19">
        <f t="shared" si="5"/>
        <v>3.8754031609892596E-3</v>
      </c>
      <c r="Q51" s="19">
        <f t="shared" si="6"/>
        <v>1.2963596017365703E-3</v>
      </c>
      <c r="R51" s="20" t="str">
        <f t="shared" si="3"/>
        <v>-</v>
      </c>
      <c r="T51" s="21">
        <v>66</v>
      </c>
      <c r="U51" s="22" t="str">
        <f t="shared" si="0"/>
        <v>-</v>
      </c>
      <c r="W51" s="54">
        <f t="shared" si="4"/>
        <v>1.2963596017365703E-3</v>
      </c>
    </row>
    <row r="52" spans="2:23" x14ac:dyDescent="0.25">
      <c r="B52" s="33"/>
      <c r="C52" s="35"/>
      <c r="F52">
        <v>70</v>
      </c>
      <c r="G52" s="16">
        <v>0.98341800000000001</v>
      </c>
      <c r="H52" s="16">
        <v>0.97779000000000005</v>
      </c>
      <c r="I52" s="16">
        <v>0.97067999999999999</v>
      </c>
      <c r="J52" s="16"/>
      <c r="K52" s="17">
        <f t="shared" si="7"/>
        <v>84</v>
      </c>
      <c r="L52" s="17">
        <v>50</v>
      </c>
      <c r="M52" s="15">
        <f t="shared" si="9"/>
        <v>0.90207999999999999</v>
      </c>
      <c r="N52" s="15" t="str">
        <f t="shared" si="2"/>
        <v>50P35</v>
      </c>
      <c r="O52" s="18">
        <f t="shared" si="8"/>
        <v>0.30175442939877556</v>
      </c>
      <c r="P52" s="19">
        <f t="shared" si="5"/>
        <v>3.4601813937404097E-3</v>
      </c>
      <c r="Q52" s="19">
        <f t="shared" si="6"/>
        <v>1.0441250620843972E-3</v>
      </c>
      <c r="R52" s="20" t="str">
        <f t="shared" si="3"/>
        <v>-</v>
      </c>
      <c r="T52" s="21">
        <v>67</v>
      </c>
      <c r="U52" s="22" t="str">
        <f t="shared" si="0"/>
        <v>-</v>
      </c>
      <c r="W52" s="54">
        <f t="shared" si="4"/>
        <v>1.0441250620843972E-3</v>
      </c>
    </row>
    <row r="53" spans="2:23" x14ac:dyDescent="0.25">
      <c r="B53" s="35"/>
      <c r="C53" s="33"/>
      <c r="F53">
        <v>71</v>
      </c>
      <c r="G53" s="16">
        <v>0.98164700000000005</v>
      </c>
      <c r="H53" s="16">
        <v>0.97555899999999995</v>
      </c>
      <c r="I53" s="16">
        <v>0.96789000000000003</v>
      </c>
      <c r="J53" s="16"/>
      <c r="K53" s="17">
        <f t="shared" si="7"/>
        <v>85</v>
      </c>
      <c r="L53" s="17">
        <v>51</v>
      </c>
      <c r="M53" s="15">
        <f t="shared" si="9"/>
        <v>0.89336000000000004</v>
      </c>
      <c r="N53" s="36" t="str">
        <f t="shared" si="2"/>
        <v>51P35</v>
      </c>
      <c r="O53" s="18">
        <f t="shared" si="8"/>
        <v>0.26957533704769016</v>
      </c>
      <c r="P53" s="19">
        <f t="shared" si="5"/>
        <v>3.0894476729825091E-3</v>
      </c>
      <c r="Q53" s="19">
        <f t="shared" si="6"/>
        <v>8.3283889773546195E-4</v>
      </c>
      <c r="R53" s="20" t="str">
        <f t="shared" si="3"/>
        <v>-</v>
      </c>
      <c r="T53" s="21">
        <v>68</v>
      </c>
      <c r="U53" s="22" t="str">
        <f t="shared" si="0"/>
        <v>-</v>
      </c>
      <c r="W53" s="54">
        <f t="shared" si="4"/>
        <v>8.3283889773546195E-4</v>
      </c>
    </row>
    <row r="54" spans="2:23" x14ac:dyDescent="0.25">
      <c r="F54">
        <v>72</v>
      </c>
      <c r="G54" s="16">
        <v>0.97970400000000002</v>
      </c>
      <c r="H54" s="16">
        <v>0.97315300000000005</v>
      </c>
      <c r="I54" s="16">
        <v>0.96487000000000001</v>
      </c>
      <c r="J54" s="16"/>
      <c r="K54" s="17">
        <f t="shared" si="7"/>
        <v>86</v>
      </c>
      <c r="L54" s="17">
        <v>52</v>
      </c>
      <c r="M54" s="15">
        <f t="shared" si="9"/>
        <v>0.88387000000000004</v>
      </c>
      <c r="N54" s="36" t="str">
        <f t="shared" si="2"/>
        <v>52P35</v>
      </c>
      <c r="O54" s="18">
        <f t="shared" si="8"/>
        <v>0.23826955315634191</v>
      </c>
      <c r="P54" s="19">
        <f t="shared" si="5"/>
        <v>2.7584354223058115E-3</v>
      </c>
      <c r="Q54" s="19">
        <f t="shared" si="6"/>
        <v>6.5725117548343093E-4</v>
      </c>
      <c r="R54" s="20" t="str">
        <f t="shared" si="3"/>
        <v>-</v>
      </c>
      <c r="T54" s="21">
        <v>69</v>
      </c>
      <c r="U54" s="22" t="str">
        <f t="shared" si="0"/>
        <v>-</v>
      </c>
      <c r="W54" s="54">
        <f t="shared" si="4"/>
        <v>6.5725117548343093E-4</v>
      </c>
    </row>
    <row r="55" spans="2:23" x14ac:dyDescent="0.25">
      <c r="F55">
        <v>73</v>
      </c>
      <c r="G55" s="16">
        <v>0.97757700000000003</v>
      </c>
      <c r="H55" s="16">
        <v>0.97056600000000004</v>
      </c>
      <c r="I55" s="16">
        <v>0.96160000000000001</v>
      </c>
      <c r="J55" s="16"/>
      <c r="K55" s="17">
        <f t="shared" si="7"/>
        <v>87</v>
      </c>
      <c r="L55" s="17">
        <v>53</v>
      </c>
      <c r="M55" s="15">
        <f t="shared" si="9"/>
        <v>0.87355000000000005</v>
      </c>
      <c r="N55" s="36" t="str">
        <f t="shared" si="2"/>
        <v>53P35</v>
      </c>
      <c r="O55" s="18">
        <f t="shared" si="8"/>
        <v>0.20814036815972248</v>
      </c>
      <c r="P55" s="19">
        <f t="shared" si="5"/>
        <v>2.462888769915903E-3</v>
      </c>
      <c r="Q55" s="19">
        <f t="shared" si="6"/>
        <v>5.126265753067421E-4</v>
      </c>
      <c r="R55" s="20" t="str">
        <f t="shared" si="3"/>
        <v>-</v>
      </c>
      <c r="T55" s="21">
        <v>70</v>
      </c>
      <c r="U55" s="22" t="str">
        <f t="shared" si="0"/>
        <v>-</v>
      </c>
      <c r="W55" s="54">
        <f t="shared" si="4"/>
        <v>5.126265753067421E-4</v>
      </c>
    </row>
    <row r="56" spans="2:23" x14ac:dyDescent="0.25">
      <c r="F56">
        <v>74</v>
      </c>
      <c r="G56" s="16">
        <v>0.97524999999999995</v>
      </c>
      <c r="H56" s="16">
        <v>0.96779199999999999</v>
      </c>
      <c r="I56" s="16">
        <v>0.95808000000000004</v>
      </c>
      <c r="J56" s="16"/>
      <c r="K56" s="17">
        <f t="shared" si="7"/>
        <v>88</v>
      </c>
      <c r="L56" s="17">
        <v>54</v>
      </c>
      <c r="M56" s="15">
        <f t="shared" si="9"/>
        <v>0.86236000000000002</v>
      </c>
      <c r="N56" s="36" t="str">
        <f t="shared" si="2"/>
        <v>54P35</v>
      </c>
      <c r="O56" s="18">
        <f t="shared" si="8"/>
        <v>0.17949192788621829</v>
      </c>
      <c r="P56" s="19">
        <f t="shared" si="5"/>
        <v>2.199007830282056E-3</v>
      </c>
      <c r="Q56" s="19">
        <f t="shared" si="6"/>
        <v>3.9470415489421617E-4</v>
      </c>
      <c r="R56" s="20" t="str">
        <f t="shared" si="3"/>
        <v>-</v>
      </c>
      <c r="T56" s="21">
        <v>71</v>
      </c>
      <c r="U56" s="22" t="str">
        <f t="shared" si="0"/>
        <v>-</v>
      </c>
      <c r="W56" s="54">
        <f t="shared" si="4"/>
        <v>3.9470415489421617E-4</v>
      </c>
    </row>
    <row r="57" spans="2:23" x14ac:dyDescent="0.25">
      <c r="F57">
        <v>75</v>
      </c>
      <c r="G57" s="16">
        <v>0.97270699999999999</v>
      </c>
      <c r="H57" s="16">
        <v>0.96482400000000001</v>
      </c>
      <c r="I57" s="16">
        <v>0.95428000000000002</v>
      </c>
      <c r="J57" s="16"/>
      <c r="K57" s="17">
        <f t="shared" si="7"/>
        <v>89</v>
      </c>
      <c r="L57" s="17">
        <v>55</v>
      </c>
      <c r="M57" s="15">
        <f t="shared" si="9"/>
        <v>0.85024</v>
      </c>
      <c r="N57" s="36" t="str">
        <f t="shared" si="2"/>
        <v>55P35</v>
      </c>
      <c r="O57" s="18">
        <f t="shared" si="8"/>
        <v>0.15261121676597825</v>
      </c>
      <c r="P57" s="19">
        <f t="shared" si="5"/>
        <v>1.9633998484661214E-3</v>
      </c>
      <c r="Q57" s="19">
        <f t="shared" si="6"/>
        <v>2.9963683987255208E-4</v>
      </c>
      <c r="R57" s="20" t="str">
        <f t="shared" si="3"/>
        <v>-</v>
      </c>
      <c r="T57" s="21">
        <v>72</v>
      </c>
      <c r="U57" s="22" t="str">
        <f t="shared" si="0"/>
        <v>-</v>
      </c>
      <c r="W57" s="54">
        <f t="shared" si="4"/>
        <v>2.9963683987255208E-4</v>
      </c>
    </row>
    <row r="58" spans="2:23" x14ac:dyDescent="0.25">
      <c r="F58">
        <v>76</v>
      </c>
      <c r="G58" s="16">
        <v>0.96993300000000005</v>
      </c>
      <c r="H58" s="16">
        <v>0.96165599999999996</v>
      </c>
      <c r="I58" s="16">
        <v>0.95020000000000004</v>
      </c>
      <c r="J58" s="16"/>
      <c r="K58" s="17">
        <f t="shared" si="7"/>
        <v>90</v>
      </c>
      <c r="L58" s="17">
        <v>56</v>
      </c>
      <c r="M58" s="15">
        <f t="shared" si="9"/>
        <v>0.83714</v>
      </c>
      <c r="N58" s="36" t="str">
        <f t="shared" si="2"/>
        <v>56P35</v>
      </c>
      <c r="O58" s="18">
        <f t="shared" si="8"/>
        <v>0.12775695400347103</v>
      </c>
      <c r="P58" s="19">
        <f t="shared" si="5"/>
        <v>1.7530355789876085E-3</v>
      </c>
      <c r="Q58" s="19">
        <f t="shared" si="6"/>
        <v>2.2396248583116812E-4</v>
      </c>
      <c r="R58" s="20" t="str">
        <f t="shared" si="3"/>
        <v>-</v>
      </c>
      <c r="T58" s="21">
        <v>73</v>
      </c>
      <c r="U58" s="22" t="str">
        <f t="shared" si="0"/>
        <v>-</v>
      </c>
      <c r="W58" s="54">
        <f t="shared" si="4"/>
        <v>2.2396248583116812E-4</v>
      </c>
    </row>
    <row r="59" spans="2:23" x14ac:dyDescent="0.25">
      <c r="F59">
        <v>77</v>
      </c>
      <c r="G59" s="16">
        <v>0.96691000000000005</v>
      </c>
      <c r="H59" s="16">
        <v>0.95828500000000005</v>
      </c>
      <c r="I59" s="16">
        <v>0.94581000000000004</v>
      </c>
      <c r="J59" s="16"/>
      <c r="K59" s="17">
        <f t="shared" si="7"/>
        <v>91</v>
      </c>
      <c r="L59" s="17">
        <v>57</v>
      </c>
      <c r="M59" s="15">
        <f t="shared" si="9"/>
        <v>0.82301000000000002</v>
      </c>
      <c r="N59" s="36" t="str">
        <f t="shared" si="2"/>
        <v>57P35</v>
      </c>
      <c r="O59" s="18">
        <f t="shared" si="8"/>
        <v>0.1051452507143967</v>
      </c>
      <c r="P59" s="19">
        <f t="shared" si="5"/>
        <v>1.5652103383817931E-3</v>
      </c>
      <c r="Q59" s="19">
        <f t="shared" si="6"/>
        <v>1.6457443344991934E-4</v>
      </c>
      <c r="R59" s="20" t="str">
        <f t="shared" si="3"/>
        <v>-</v>
      </c>
      <c r="T59" s="21">
        <v>74</v>
      </c>
      <c r="U59" s="22" t="str">
        <f t="shared" si="0"/>
        <v>-</v>
      </c>
      <c r="W59" s="54">
        <f t="shared" si="4"/>
        <v>1.6457443344991934E-4</v>
      </c>
    </row>
    <row r="60" spans="2:23" x14ac:dyDescent="0.25">
      <c r="F60">
        <v>78</v>
      </c>
      <c r="G60" s="16">
        <v>0.96362099999999995</v>
      </c>
      <c r="H60" s="16">
        <v>0.954708</v>
      </c>
      <c r="I60" s="16">
        <v>0.94106000000000001</v>
      </c>
      <c r="J60" s="16"/>
      <c r="K60" s="17">
        <f t="shared" si="7"/>
        <v>92</v>
      </c>
      <c r="L60" s="17">
        <v>58</v>
      </c>
      <c r="M60" s="15">
        <f t="shared" si="9"/>
        <v>0.80779999999999996</v>
      </c>
      <c r="N60" s="36" t="str">
        <f t="shared" si="2"/>
        <v>58P35</v>
      </c>
      <c r="O60" s="18">
        <f t="shared" si="8"/>
        <v>8.4936333527089652E-2</v>
      </c>
      <c r="P60" s="19">
        <f t="shared" si="5"/>
        <v>1.3975092306980296E-3</v>
      </c>
      <c r="Q60" s="19">
        <f t="shared" si="6"/>
        <v>1.1869931012575432E-4</v>
      </c>
      <c r="R60" s="20" t="str">
        <f t="shared" si="3"/>
        <v>-</v>
      </c>
      <c r="T60" s="21">
        <v>75</v>
      </c>
      <c r="U60" s="22" t="str">
        <f t="shared" si="0"/>
        <v>-</v>
      </c>
      <c r="W60" s="54">
        <f t="shared" si="4"/>
        <v>1.1869931012575432E-4</v>
      </c>
    </row>
    <row r="61" spans="2:23" x14ac:dyDescent="0.25">
      <c r="F61">
        <v>79</v>
      </c>
      <c r="G61" s="16">
        <v>0.96004599999999995</v>
      </c>
      <c r="H61" s="16">
        <v>0.95091999999999999</v>
      </c>
      <c r="I61" s="16">
        <v>0.93589</v>
      </c>
      <c r="J61" s="16"/>
      <c r="K61" s="17">
        <f t="shared" si="7"/>
        <v>93</v>
      </c>
      <c r="L61" s="17">
        <v>59</v>
      </c>
      <c r="M61" s="15">
        <f t="shared" si="9"/>
        <v>0.79157999999999995</v>
      </c>
      <c r="N61" s="36" t="str">
        <f t="shared" si="2"/>
        <v>59P35</v>
      </c>
      <c r="O61" s="18">
        <f t="shared" si="8"/>
        <v>6.7233902893373623E-2</v>
      </c>
      <c r="P61" s="19">
        <f t="shared" si="5"/>
        <v>1.2477760988375264E-3</v>
      </c>
      <c r="Q61" s="19">
        <f t="shared" si="6"/>
        <v>8.3892857061914822E-5</v>
      </c>
      <c r="R61" s="20" t="str">
        <f t="shared" si="3"/>
        <v>-</v>
      </c>
      <c r="T61" s="21">
        <v>76</v>
      </c>
      <c r="U61" s="22" t="str">
        <f t="shared" si="0"/>
        <v>-</v>
      </c>
      <c r="W61" s="54">
        <f t="shared" si="4"/>
        <v>8.3892857061914822E-5</v>
      </c>
    </row>
    <row r="62" spans="2:23" x14ac:dyDescent="0.25">
      <c r="F62">
        <v>80</v>
      </c>
      <c r="G62" s="16">
        <v>0.95616699999999999</v>
      </c>
      <c r="H62" s="16">
        <v>0.94692200000000004</v>
      </c>
      <c r="I62" s="16">
        <v>0.93025999999999998</v>
      </c>
      <c r="J62" s="16"/>
      <c r="K62" s="17">
        <f t="shared" si="7"/>
        <v>94</v>
      </c>
      <c r="L62" s="17">
        <v>60</v>
      </c>
      <c r="M62" s="15">
        <f t="shared" si="9"/>
        <v>0.7742</v>
      </c>
      <c r="N62" s="36" t="str">
        <f t="shared" si="2"/>
        <v>60P35</v>
      </c>
      <c r="O62" s="18">
        <f t="shared" si="8"/>
        <v>5.205248762004986E-2</v>
      </c>
      <c r="P62" s="19">
        <f t="shared" si="5"/>
        <v>1.1140858025335057E-3</v>
      </c>
      <c r="Q62" s="19">
        <f t="shared" si="6"/>
        <v>5.7990937444048615E-5</v>
      </c>
      <c r="R62" s="20" t="str">
        <f t="shared" si="3"/>
        <v>-</v>
      </c>
      <c r="T62" s="21">
        <v>77</v>
      </c>
      <c r="U62" s="22" t="str">
        <f t="shared" si="0"/>
        <v>-</v>
      </c>
      <c r="W62" s="54">
        <f t="shared" si="4"/>
        <v>5.7990937444048615E-5</v>
      </c>
    </row>
    <row r="63" spans="2:23" x14ac:dyDescent="0.25">
      <c r="F63">
        <v>81</v>
      </c>
      <c r="G63" s="16">
        <v>0.951963</v>
      </c>
      <c r="H63" s="16">
        <v>0.94271199999999999</v>
      </c>
      <c r="I63" s="16">
        <v>0.92412000000000005</v>
      </c>
      <c r="J63" s="16"/>
      <c r="K63" s="17">
        <f t="shared" si="7"/>
        <v>95</v>
      </c>
      <c r="L63" s="17">
        <v>61</v>
      </c>
      <c r="M63" s="15">
        <f t="shared" si="9"/>
        <v>0.75560000000000005</v>
      </c>
      <c r="N63" s="36" t="str">
        <f t="shared" si="2"/>
        <v>61P35</v>
      </c>
      <c r="O63" s="18">
        <f t="shared" si="8"/>
        <v>3.9330859645709676E-2</v>
      </c>
      <c r="P63" s="19">
        <f t="shared" si="5"/>
        <v>9.947194665477731E-4</v>
      </c>
      <c r="Q63" s="19">
        <f t="shared" si="6"/>
        <v>3.9123171725645664E-5</v>
      </c>
      <c r="R63" s="20" t="str">
        <f t="shared" si="3"/>
        <v>-</v>
      </c>
      <c r="T63" s="21">
        <v>78</v>
      </c>
      <c r="U63" s="22" t="str">
        <f t="shared" si="0"/>
        <v>-</v>
      </c>
      <c r="W63" s="54">
        <f t="shared" si="4"/>
        <v>3.9123171725645664E-5</v>
      </c>
    </row>
    <row r="64" spans="2:23" x14ac:dyDescent="0.25">
      <c r="F64">
        <v>82</v>
      </c>
      <c r="G64" s="16">
        <v>0.94741399999999998</v>
      </c>
      <c r="H64" s="16">
        <v>0.93829099999999999</v>
      </c>
      <c r="I64" s="16">
        <v>0.91741000000000006</v>
      </c>
      <c r="J64" s="16"/>
      <c r="K64" s="17">
        <f t="shared" si="7"/>
        <v>96</v>
      </c>
      <c r="L64" s="17">
        <v>62</v>
      </c>
      <c r="M64" s="15">
        <f t="shared" si="9"/>
        <v>0.73575000000000002</v>
      </c>
      <c r="N64" s="36" t="str">
        <f t="shared" si="2"/>
        <v>62P35</v>
      </c>
      <c r="O64" s="18">
        <f t="shared" si="8"/>
        <v>2.8937679984330895E-2</v>
      </c>
      <c r="P64" s="19">
        <f t="shared" si="5"/>
        <v>8.8814238084622583E-4</v>
      </c>
      <c r="Q64" s="19">
        <f t="shared" si="6"/>
        <v>2.5700779997449816E-5</v>
      </c>
      <c r="R64" s="20" t="str">
        <f t="shared" si="3"/>
        <v>-</v>
      </c>
      <c r="T64" s="21">
        <v>79</v>
      </c>
      <c r="U64" s="22" t="str">
        <f t="shared" si="0"/>
        <v>-</v>
      </c>
      <c r="W64" s="54">
        <f t="shared" si="4"/>
        <v>2.5700779997449816E-5</v>
      </c>
    </row>
    <row r="65" spans="6:23" x14ac:dyDescent="0.25">
      <c r="F65">
        <v>83</v>
      </c>
      <c r="G65" s="16">
        <v>0.94249899999999998</v>
      </c>
      <c r="H65" s="16">
        <v>0.93366300000000002</v>
      </c>
      <c r="I65" s="16">
        <v>0.91008</v>
      </c>
      <c r="J65" s="16"/>
      <c r="K65" s="17">
        <f t="shared" si="7"/>
        <v>97</v>
      </c>
      <c r="L65" s="17">
        <v>63</v>
      </c>
      <c r="M65" s="15">
        <f t="shared" si="9"/>
        <v>0.71462000000000003</v>
      </c>
      <c r="N65" s="36" t="str">
        <f t="shared" si="2"/>
        <v>63P35</v>
      </c>
      <c r="O65" s="18">
        <f t="shared" si="8"/>
        <v>2.0679444870402547E-2</v>
      </c>
      <c r="P65" s="19">
        <f t="shared" si="5"/>
        <v>7.9298426861270147E-4</v>
      </c>
      <c r="Q65" s="19">
        <f t="shared" si="6"/>
        <v>1.6398474465872845E-5</v>
      </c>
      <c r="R65" s="20" t="str">
        <f t="shared" si="3"/>
        <v>-</v>
      </c>
      <c r="T65" s="21">
        <v>80</v>
      </c>
      <c r="U65" s="22" t="str">
        <f t="shared" si="0"/>
        <v>-</v>
      </c>
      <c r="W65" s="54">
        <f t="shared" si="4"/>
        <v>1.6398474465872845E-5</v>
      </c>
    </row>
    <row r="66" spans="6:23" x14ac:dyDescent="0.25">
      <c r="F66">
        <v>84</v>
      </c>
      <c r="G66" s="16">
        <v>0.93719600000000003</v>
      </c>
      <c r="H66" s="16">
        <v>0.92883099999999996</v>
      </c>
      <c r="I66" s="16">
        <v>0.90207999999999999</v>
      </c>
      <c r="J66" s="16"/>
      <c r="K66" s="17">
        <f t="shared" si="7"/>
        <v>98</v>
      </c>
      <c r="L66" s="17">
        <v>64</v>
      </c>
      <c r="M66" s="15">
        <f t="shared" si="9"/>
        <v>0.69216</v>
      </c>
      <c r="N66" s="36" t="str">
        <f t="shared" si="2"/>
        <v>64P35</v>
      </c>
      <c r="O66" s="18">
        <f t="shared" si="8"/>
        <v>1.4313484561497827E-2</v>
      </c>
      <c r="P66" s="19">
        <f t="shared" si="5"/>
        <v>7.0802166840419774E-4</v>
      </c>
      <c r="Q66" s="19">
        <f t="shared" si="6"/>
        <v>1.0134257219909417E-5</v>
      </c>
      <c r="R66" s="20" t="str">
        <f t="shared" si="3"/>
        <v>-</v>
      </c>
      <c r="T66" s="21">
        <v>81</v>
      </c>
      <c r="U66" s="22" t="str">
        <f t="shared" ref="U66:U105" si="10">IF(AND(F66&gt;=$C$3,F66&lt;$C$7),I66,"-")</f>
        <v>-</v>
      </c>
      <c r="W66" s="54">
        <f t="shared" si="4"/>
        <v>1.0134257219909417E-5</v>
      </c>
    </row>
    <row r="67" spans="6:23" x14ac:dyDescent="0.25">
      <c r="F67">
        <v>85</v>
      </c>
      <c r="G67" s="16">
        <v>0.93148399999999998</v>
      </c>
      <c r="H67" s="16">
        <v>0.92380099999999998</v>
      </c>
      <c r="I67" s="16">
        <v>0.89336000000000004</v>
      </c>
      <c r="J67" s="16"/>
      <c r="K67" s="17">
        <f t="shared" si="7"/>
        <v>99</v>
      </c>
      <c r="L67" s="17">
        <v>65</v>
      </c>
      <c r="M67" s="15">
        <f t="shared" ref="M67:M98" si="11">IFERROR(VLOOKUP($C$7+L66,$F$2:$I$105,4,FALSE),"0")</f>
        <v>0.66839000000000004</v>
      </c>
      <c r="N67" s="36" t="str">
        <f t="shared" ref="N67:N105" si="12">IF(O67=0,0,_xlfn.CONCAT(L67,"P",$C$7))</f>
        <v>65P35</v>
      </c>
      <c r="O67" s="18">
        <f t="shared" si="8"/>
        <v>9.5669899460595325E-3</v>
      </c>
      <c r="P67" s="19">
        <f t="shared" si="5"/>
        <v>6.3216220393231941E-4</v>
      </c>
      <c r="Q67" s="19">
        <f t="shared" si="6"/>
        <v>6.0478894492993358E-6</v>
      </c>
      <c r="R67" s="20" t="str">
        <f t="shared" ref="R67:R105" si="13">IF(L67&lt;$C$4,P67,"-")</f>
        <v>-</v>
      </c>
      <c r="T67" s="21">
        <v>82</v>
      </c>
      <c r="U67" s="22" t="str">
        <f t="shared" si="10"/>
        <v>-</v>
      </c>
      <c r="W67" s="54">
        <f t="shared" ref="W67:W105" si="14">P67*O67</f>
        <v>6.0478894492993358E-6</v>
      </c>
    </row>
    <row r="68" spans="6:23" x14ac:dyDescent="0.25">
      <c r="F68">
        <v>86</v>
      </c>
      <c r="G68" s="16">
        <v>0.92533900000000002</v>
      </c>
      <c r="H68" s="16">
        <v>0.91857800000000001</v>
      </c>
      <c r="I68" s="16">
        <v>0.88387000000000004</v>
      </c>
      <c r="J68" s="16"/>
      <c r="K68" s="17">
        <f t="shared" si="7"/>
        <v>100</v>
      </c>
      <c r="L68" s="17">
        <v>66</v>
      </c>
      <c r="M68" s="15">
        <f t="shared" si="11"/>
        <v>0.64328999999999992</v>
      </c>
      <c r="N68" s="36" t="str">
        <f t="shared" si="12"/>
        <v>66P35</v>
      </c>
      <c r="O68" s="18">
        <f t="shared" si="8"/>
        <v>6.1543489624006362E-3</v>
      </c>
      <c r="P68" s="19">
        <f t="shared" ref="P68:P105" si="15">IF(O68=0,0,$C$12^L68)</f>
        <v>5.6443053922528518E-4</v>
      </c>
      <c r="Q68" s="19">
        <f t="shared" ref="Q68:Q105" si="16">P68*O68</f>
        <v>3.4737025034283655E-6</v>
      </c>
      <c r="R68" s="20" t="str">
        <f t="shared" si="13"/>
        <v>-</v>
      </c>
      <c r="T68" s="21">
        <v>83</v>
      </c>
      <c r="U68" s="22" t="str">
        <f t="shared" si="10"/>
        <v>-</v>
      </c>
      <c r="W68" s="54">
        <f t="shared" si="14"/>
        <v>3.4737025034283655E-6</v>
      </c>
    </row>
    <row r="69" spans="6:23" x14ac:dyDescent="0.25">
      <c r="F69">
        <v>87</v>
      </c>
      <c r="G69" s="16">
        <v>0.91874199999999995</v>
      </c>
      <c r="H69" s="16">
        <v>0.91317300000000001</v>
      </c>
      <c r="I69" s="16">
        <v>0.87355000000000005</v>
      </c>
      <c r="J69" s="16"/>
      <c r="K69" s="17">
        <f t="shared" ref="K69:K104" si="17">$K$3+L68</f>
        <v>101</v>
      </c>
      <c r="L69" s="17">
        <v>67</v>
      </c>
      <c r="M69" s="15">
        <f t="shared" si="11"/>
        <v>0.61688999999999994</v>
      </c>
      <c r="N69" s="36" t="str">
        <f t="shared" si="12"/>
        <v>67P35</v>
      </c>
      <c r="O69" s="18">
        <f t="shared" si="8"/>
        <v>3.7965563314153279E-3</v>
      </c>
      <c r="P69" s="19">
        <f t="shared" si="15"/>
        <v>5.0395583859400462E-4</v>
      </c>
      <c r="Q69" s="19">
        <f t="shared" si="16"/>
        <v>1.9132967297677895E-6</v>
      </c>
      <c r="R69" s="20" t="str">
        <f t="shared" si="13"/>
        <v>-</v>
      </c>
      <c r="T69" s="21">
        <v>84</v>
      </c>
      <c r="U69" s="22" t="str">
        <f t="shared" si="10"/>
        <v>-</v>
      </c>
      <c r="W69" s="54">
        <f t="shared" si="14"/>
        <v>1.9132967297677895E-6</v>
      </c>
    </row>
    <row r="70" spans="6:23" x14ac:dyDescent="0.25">
      <c r="F70">
        <v>88</v>
      </c>
      <c r="G70" s="16">
        <v>0.91166899999999995</v>
      </c>
      <c r="H70" s="16">
        <v>0.90759500000000004</v>
      </c>
      <c r="I70" s="16">
        <v>0.86236000000000002</v>
      </c>
      <c r="J70" s="16"/>
      <c r="K70" s="17">
        <f t="shared" si="17"/>
        <v>102</v>
      </c>
      <c r="L70" s="17">
        <v>68</v>
      </c>
      <c r="M70" s="15">
        <f t="shared" si="11"/>
        <v>0.58922000000000008</v>
      </c>
      <c r="N70" s="36" t="str">
        <f t="shared" si="12"/>
        <v>68P35</v>
      </c>
      <c r="O70" s="18">
        <f t="shared" si="8"/>
        <v>2.2370069215965397E-3</v>
      </c>
      <c r="P70" s="19">
        <f t="shared" si="15"/>
        <v>4.4996057017321833E-4</v>
      </c>
      <c r="Q70" s="19">
        <f t="shared" si="16"/>
        <v>1.0065649099230149E-6</v>
      </c>
      <c r="R70" s="20" t="str">
        <f t="shared" si="13"/>
        <v>-</v>
      </c>
      <c r="T70" s="21">
        <v>85</v>
      </c>
      <c r="U70" s="22" t="str">
        <f t="shared" si="10"/>
        <v>-</v>
      </c>
      <c r="W70" s="54">
        <f t="shared" si="14"/>
        <v>1.0065649099230149E-6</v>
      </c>
    </row>
    <row r="71" spans="6:23" x14ac:dyDescent="0.25">
      <c r="F71">
        <v>89</v>
      </c>
      <c r="G71" s="16">
        <v>0.90409799999999996</v>
      </c>
      <c r="H71" s="16">
        <v>0.90185599999999999</v>
      </c>
      <c r="I71" s="16">
        <v>0.85024</v>
      </c>
      <c r="J71" s="16"/>
      <c r="K71" s="17">
        <f t="shared" si="17"/>
        <v>103</v>
      </c>
      <c r="L71" s="17">
        <v>69</v>
      </c>
      <c r="M71" s="15">
        <f t="shared" si="11"/>
        <v>0.56034000000000006</v>
      </c>
      <c r="N71" s="36" t="str">
        <f t="shared" si="12"/>
        <v>69P35</v>
      </c>
      <c r="O71" s="18">
        <f t="shared" ref="O71:O105" si="18">IFERROR(M71*O70, "-")</f>
        <v>1.2534844584474053E-3</v>
      </c>
      <c r="P71" s="19">
        <f t="shared" si="15"/>
        <v>4.0175050908323068E-4</v>
      </c>
      <c r="Q71" s="19">
        <f t="shared" si="16"/>
        <v>5.0358801930916278E-7</v>
      </c>
      <c r="R71" s="20" t="str">
        <f t="shared" si="13"/>
        <v>-</v>
      </c>
      <c r="T71" s="21">
        <v>86</v>
      </c>
      <c r="U71" s="22" t="str">
        <f t="shared" si="10"/>
        <v>-</v>
      </c>
      <c r="W71" s="54">
        <f t="shared" si="14"/>
        <v>5.0358801930916278E-7</v>
      </c>
    </row>
    <row r="72" spans="6:23" x14ac:dyDescent="0.25">
      <c r="F72">
        <v>90</v>
      </c>
      <c r="G72" s="16">
        <v>0.89600999999999997</v>
      </c>
      <c r="H72" s="16">
        <v>0.89596900000000002</v>
      </c>
      <c r="I72" s="16">
        <v>0.83714</v>
      </c>
      <c r="J72" s="16"/>
      <c r="K72" s="17">
        <f t="shared" si="17"/>
        <v>104</v>
      </c>
      <c r="L72" s="17">
        <v>70</v>
      </c>
      <c r="M72" s="15">
        <f t="shared" si="11"/>
        <v>0.53034000000000003</v>
      </c>
      <c r="N72" s="36" t="str">
        <f t="shared" si="12"/>
        <v>70P35</v>
      </c>
      <c r="O72" s="18">
        <f t="shared" si="18"/>
        <v>6.6477294769299699E-4</v>
      </c>
      <c r="P72" s="19">
        <f t="shared" si="15"/>
        <v>3.5870581168145595E-4</v>
      </c>
      <c r="Q72" s="19">
        <f t="shared" si="16"/>
        <v>2.3845791978609057E-7</v>
      </c>
      <c r="R72" s="20" t="str">
        <f t="shared" si="13"/>
        <v>-</v>
      </c>
      <c r="T72" s="21">
        <v>87</v>
      </c>
      <c r="U72" s="22" t="str">
        <f t="shared" si="10"/>
        <v>-</v>
      </c>
      <c r="W72" s="54">
        <f t="shared" si="14"/>
        <v>2.3845791978609057E-7</v>
      </c>
    </row>
    <row r="73" spans="6:23" x14ac:dyDescent="0.25">
      <c r="F73">
        <v>91</v>
      </c>
      <c r="G73" s="16"/>
      <c r="H73" s="16"/>
      <c r="I73" s="16">
        <v>0.82301000000000002</v>
      </c>
      <c r="J73" s="16"/>
      <c r="K73" s="17">
        <f t="shared" si="17"/>
        <v>105</v>
      </c>
      <c r="L73" s="17">
        <v>71</v>
      </c>
      <c r="M73" s="15">
        <f t="shared" si="11"/>
        <v>0.49933000000000005</v>
      </c>
      <c r="N73" s="36" t="str">
        <f t="shared" si="12"/>
        <v>71P35</v>
      </c>
      <c r="O73" s="18">
        <f t="shared" si="18"/>
        <v>3.319410759715442E-4</v>
      </c>
      <c r="P73" s="19">
        <f t="shared" si="15"/>
        <v>3.2027304614415706E-4</v>
      </c>
      <c r="Q73" s="19">
        <f t="shared" si="16"/>
        <v>1.0631177954177552E-7</v>
      </c>
      <c r="R73" s="20" t="str">
        <f t="shared" si="13"/>
        <v>-</v>
      </c>
      <c r="T73" s="21">
        <v>88</v>
      </c>
      <c r="U73" s="22" t="str">
        <f t="shared" si="10"/>
        <v>-</v>
      </c>
      <c r="W73" s="54">
        <f t="shared" si="14"/>
        <v>1.0631177954177552E-7</v>
      </c>
    </row>
    <row r="74" spans="6:23" x14ac:dyDescent="0.25">
      <c r="F74">
        <v>92</v>
      </c>
      <c r="G74" s="16"/>
      <c r="H74" s="16"/>
      <c r="I74" s="16">
        <v>0.80779999999999996</v>
      </c>
      <c r="J74" s="16"/>
      <c r="K74" s="17">
        <f t="shared" si="17"/>
        <v>106</v>
      </c>
      <c r="L74" s="17">
        <v>72</v>
      </c>
      <c r="M74" s="15">
        <f t="shared" si="11"/>
        <v>0.46745000000000003</v>
      </c>
      <c r="N74" s="36" t="str">
        <f t="shared" si="12"/>
        <v>72P35</v>
      </c>
      <c r="O74" s="18">
        <f t="shared" si="18"/>
        <v>1.5516585596289835E-4</v>
      </c>
      <c r="P74" s="19">
        <f t="shared" si="15"/>
        <v>2.8595807691442595E-4</v>
      </c>
      <c r="Q74" s="19">
        <f t="shared" si="16"/>
        <v>4.4370929773931226E-8</v>
      </c>
      <c r="R74" s="20" t="str">
        <f t="shared" si="13"/>
        <v>-</v>
      </c>
      <c r="T74" s="21">
        <v>89</v>
      </c>
      <c r="U74" s="22" t="str">
        <f t="shared" si="10"/>
        <v>-</v>
      </c>
      <c r="W74" s="54">
        <f t="shared" si="14"/>
        <v>4.4370929773931226E-8</v>
      </c>
    </row>
    <row r="75" spans="6:23" x14ac:dyDescent="0.25">
      <c r="F75">
        <v>93</v>
      </c>
      <c r="G75" s="16"/>
      <c r="H75" s="16"/>
      <c r="I75" s="16">
        <v>0.79157999999999995</v>
      </c>
      <c r="J75" s="16"/>
      <c r="K75" s="17">
        <f t="shared" si="17"/>
        <v>107</v>
      </c>
      <c r="L75" s="17">
        <v>73</v>
      </c>
      <c r="M75" s="15">
        <f t="shared" si="11"/>
        <v>0.43486999999999998</v>
      </c>
      <c r="N75" s="36" t="str">
        <f t="shared" si="12"/>
        <v>73P35</v>
      </c>
      <c r="O75" s="18">
        <f t="shared" si="18"/>
        <v>6.7476975782585608E-5</v>
      </c>
      <c r="P75" s="19">
        <f t="shared" si="15"/>
        <v>2.5531971153073743E-4</v>
      </c>
      <c r="Q75" s="19">
        <f t="shared" si="16"/>
        <v>1.7228201991776315E-8</v>
      </c>
      <c r="R75" s="20" t="str">
        <f t="shared" si="13"/>
        <v>-</v>
      </c>
      <c r="T75" s="21">
        <v>90</v>
      </c>
      <c r="U75" s="22" t="str">
        <f t="shared" si="10"/>
        <v>-</v>
      </c>
      <c r="W75" s="54">
        <f t="shared" si="14"/>
        <v>1.7228201991776315E-8</v>
      </c>
    </row>
    <row r="76" spans="6:23" x14ac:dyDescent="0.25">
      <c r="F76">
        <v>94</v>
      </c>
      <c r="I76" s="16">
        <v>0.7742</v>
      </c>
      <c r="J76" s="16"/>
      <c r="K76" s="17">
        <f t="shared" si="17"/>
        <v>108</v>
      </c>
      <c r="L76" s="17">
        <v>74</v>
      </c>
      <c r="M76" s="15">
        <f t="shared" si="11"/>
        <v>0</v>
      </c>
      <c r="N76" s="36">
        <f t="shared" si="12"/>
        <v>0</v>
      </c>
      <c r="O76" s="18">
        <f t="shared" si="18"/>
        <v>0</v>
      </c>
      <c r="P76" s="19">
        <f t="shared" si="15"/>
        <v>0</v>
      </c>
      <c r="Q76" s="19">
        <f t="shared" si="16"/>
        <v>0</v>
      </c>
      <c r="R76" s="20" t="str">
        <f t="shared" si="13"/>
        <v>-</v>
      </c>
      <c r="T76" s="21">
        <v>91</v>
      </c>
      <c r="U76" s="22" t="str">
        <f t="shared" si="10"/>
        <v>-</v>
      </c>
      <c r="W76" s="54">
        <f t="shared" si="14"/>
        <v>0</v>
      </c>
    </row>
    <row r="77" spans="6:23" x14ac:dyDescent="0.25">
      <c r="F77">
        <v>95</v>
      </c>
      <c r="I77" s="16">
        <v>0.75560000000000005</v>
      </c>
      <c r="J77" s="16"/>
      <c r="K77" s="17">
        <f t="shared" si="17"/>
        <v>109</v>
      </c>
      <c r="L77" s="17">
        <v>75</v>
      </c>
      <c r="M77" s="15">
        <f t="shared" si="11"/>
        <v>0</v>
      </c>
      <c r="N77" s="36">
        <f t="shared" si="12"/>
        <v>0</v>
      </c>
      <c r="O77" s="18">
        <f t="shared" si="18"/>
        <v>0</v>
      </c>
      <c r="P77" s="19">
        <f t="shared" si="15"/>
        <v>0</v>
      </c>
      <c r="Q77" s="19">
        <f t="shared" si="16"/>
        <v>0</v>
      </c>
      <c r="R77" s="20" t="str">
        <f t="shared" si="13"/>
        <v>-</v>
      </c>
      <c r="T77" s="21">
        <v>92</v>
      </c>
      <c r="U77" s="22" t="str">
        <f t="shared" si="10"/>
        <v>-</v>
      </c>
      <c r="W77" s="54">
        <f t="shared" si="14"/>
        <v>0</v>
      </c>
    </row>
    <row r="78" spans="6:23" x14ac:dyDescent="0.25">
      <c r="F78">
        <v>96</v>
      </c>
      <c r="I78" s="16">
        <v>0.73575000000000002</v>
      </c>
      <c r="J78" s="16"/>
      <c r="K78" s="17">
        <f t="shared" si="17"/>
        <v>110</v>
      </c>
      <c r="L78" s="17">
        <v>76</v>
      </c>
      <c r="M78" s="15">
        <f t="shared" si="11"/>
        <v>0</v>
      </c>
      <c r="N78" s="36">
        <f t="shared" si="12"/>
        <v>0</v>
      </c>
      <c r="O78" s="18">
        <f t="shared" si="18"/>
        <v>0</v>
      </c>
      <c r="P78" s="19">
        <f t="shared" si="15"/>
        <v>0</v>
      </c>
      <c r="Q78" s="19">
        <f t="shared" si="16"/>
        <v>0</v>
      </c>
      <c r="R78" s="20" t="str">
        <f t="shared" si="13"/>
        <v>-</v>
      </c>
      <c r="T78" s="21">
        <v>93</v>
      </c>
      <c r="U78" s="22" t="str">
        <f t="shared" si="10"/>
        <v>-</v>
      </c>
      <c r="W78" s="54">
        <f t="shared" si="14"/>
        <v>0</v>
      </c>
    </row>
    <row r="79" spans="6:23" x14ac:dyDescent="0.25">
      <c r="F79">
        <v>97</v>
      </c>
      <c r="I79" s="16">
        <v>0.71462000000000003</v>
      </c>
      <c r="J79" s="16"/>
      <c r="K79" s="17">
        <f t="shared" si="17"/>
        <v>111</v>
      </c>
      <c r="L79" s="17">
        <v>77</v>
      </c>
      <c r="M79" s="15">
        <f t="shared" si="11"/>
        <v>0</v>
      </c>
      <c r="N79" s="36">
        <f t="shared" si="12"/>
        <v>0</v>
      </c>
      <c r="O79" s="18">
        <f t="shared" si="18"/>
        <v>0</v>
      </c>
      <c r="P79" s="19">
        <f t="shared" si="15"/>
        <v>0</v>
      </c>
      <c r="Q79" s="19">
        <f t="shared" si="16"/>
        <v>0</v>
      </c>
      <c r="R79" s="20" t="str">
        <f t="shared" si="13"/>
        <v>-</v>
      </c>
      <c r="T79" s="21">
        <v>94</v>
      </c>
      <c r="U79" s="22" t="str">
        <f t="shared" si="10"/>
        <v>-</v>
      </c>
      <c r="W79" s="54">
        <f t="shared" si="14"/>
        <v>0</v>
      </c>
    </row>
    <row r="80" spans="6:23" x14ac:dyDescent="0.25">
      <c r="F80">
        <v>98</v>
      </c>
      <c r="I80" s="16">
        <v>0.69216</v>
      </c>
      <c r="J80" s="16"/>
      <c r="K80" s="17">
        <f t="shared" si="17"/>
        <v>112</v>
      </c>
      <c r="L80" s="17">
        <v>78</v>
      </c>
      <c r="M80" s="15">
        <f t="shared" si="11"/>
        <v>0</v>
      </c>
      <c r="N80" s="36">
        <f t="shared" si="12"/>
        <v>0</v>
      </c>
      <c r="O80" s="18">
        <f t="shared" si="18"/>
        <v>0</v>
      </c>
      <c r="P80" s="19">
        <f t="shared" si="15"/>
        <v>0</v>
      </c>
      <c r="Q80" s="19">
        <f t="shared" si="16"/>
        <v>0</v>
      </c>
      <c r="R80" s="20" t="str">
        <f t="shared" si="13"/>
        <v>-</v>
      </c>
      <c r="T80" s="21">
        <v>95</v>
      </c>
      <c r="U80" s="22" t="str">
        <f t="shared" si="10"/>
        <v>-</v>
      </c>
      <c r="W80" s="54">
        <f t="shared" si="14"/>
        <v>0</v>
      </c>
    </row>
    <row r="81" spans="6:23" x14ac:dyDescent="0.25">
      <c r="F81">
        <v>99</v>
      </c>
      <c r="I81" s="16">
        <v>0.66839000000000004</v>
      </c>
      <c r="J81" s="16"/>
      <c r="K81" s="17">
        <f t="shared" si="17"/>
        <v>113</v>
      </c>
      <c r="L81" s="17">
        <v>79</v>
      </c>
      <c r="M81" s="15">
        <f t="shared" si="11"/>
        <v>0</v>
      </c>
      <c r="N81" s="36">
        <f t="shared" si="12"/>
        <v>0</v>
      </c>
      <c r="O81" s="18">
        <f t="shared" si="18"/>
        <v>0</v>
      </c>
      <c r="P81" s="19">
        <f t="shared" si="15"/>
        <v>0</v>
      </c>
      <c r="Q81" s="19">
        <f t="shared" si="16"/>
        <v>0</v>
      </c>
      <c r="R81" s="20" t="str">
        <f t="shared" si="13"/>
        <v>-</v>
      </c>
      <c r="T81" s="21">
        <v>96</v>
      </c>
      <c r="U81" s="22" t="str">
        <f t="shared" si="10"/>
        <v>-</v>
      </c>
      <c r="W81" s="54">
        <f t="shared" si="14"/>
        <v>0</v>
      </c>
    </row>
    <row r="82" spans="6:23" x14ac:dyDescent="0.25">
      <c r="F82">
        <v>100</v>
      </c>
      <c r="I82" s="16">
        <v>0.64328999999999992</v>
      </c>
      <c r="J82" s="16"/>
      <c r="K82" s="17">
        <f t="shared" si="17"/>
        <v>114</v>
      </c>
      <c r="L82" s="17">
        <v>80</v>
      </c>
      <c r="M82" s="15">
        <f t="shared" si="11"/>
        <v>0</v>
      </c>
      <c r="N82" s="36">
        <f t="shared" si="12"/>
        <v>0</v>
      </c>
      <c r="O82" s="18">
        <f t="shared" si="18"/>
        <v>0</v>
      </c>
      <c r="P82" s="19">
        <f t="shared" si="15"/>
        <v>0</v>
      </c>
      <c r="Q82" s="19">
        <f t="shared" si="16"/>
        <v>0</v>
      </c>
      <c r="R82" s="20" t="str">
        <f t="shared" si="13"/>
        <v>-</v>
      </c>
      <c r="T82" s="21">
        <v>97</v>
      </c>
      <c r="U82" s="22" t="str">
        <f t="shared" si="10"/>
        <v>-</v>
      </c>
      <c r="W82" s="54">
        <f t="shared" si="14"/>
        <v>0</v>
      </c>
    </row>
    <row r="83" spans="6:23" x14ac:dyDescent="0.25">
      <c r="F83">
        <v>101</v>
      </c>
      <c r="I83" s="16">
        <v>0.61688999999999994</v>
      </c>
      <c r="J83" s="16"/>
      <c r="K83" s="17">
        <f t="shared" si="17"/>
        <v>115</v>
      </c>
      <c r="L83" s="17">
        <v>81</v>
      </c>
      <c r="M83" s="15">
        <f t="shared" si="11"/>
        <v>0</v>
      </c>
      <c r="N83" s="36">
        <f t="shared" si="12"/>
        <v>0</v>
      </c>
      <c r="O83" s="18">
        <f t="shared" si="18"/>
        <v>0</v>
      </c>
      <c r="P83" s="19">
        <f t="shared" si="15"/>
        <v>0</v>
      </c>
      <c r="Q83" s="19">
        <f t="shared" si="16"/>
        <v>0</v>
      </c>
      <c r="R83" s="20" t="str">
        <f t="shared" si="13"/>
        <v>-</v>
      </c>
      <c r="T83" s="21">
        <v>98</v>
      </c>
      <c r="U83" s="22" t="str">
        <f t="shared" si="10"/>
        <v>-</v>
      </c>
      <c r="W83" s="54">
        <f t="shared" si="14"/>
        <v>0</v>
      </c>
    </row>
    <row r="84" spans="6:23" x14ac:dyDescent="0.25">
      <c r="F84">
        <v>102</v>
      </c>
      <c r="I84" s="16">
        <v>0.58922000000000008</v>
      </c>
      <c r="J84" s="16"/>
      <c r="K84" s="17">
        <f t="shared" si="17"/>
        <v>116</v>
      </c>
      <c r="L84" s="17">
        <v>82</v>
      </c>
      <c r="M84" s="15">
        <f t="shared" si="11"/>
        <v>0</v>
      </c>
      <c r="N84" s="36">
        <f t="shared" si="12"/>
        <v>0</v>
      </c>
      <c r="O84" s="18">
        <f t="shared" si="18"/>
        <v>0</v>
      </c>
      <c r="P84" s="19">
        <f t="shared" si="15"/>
        <v>0</v>
      </c>
      <c r="Q84" s="19">
        <f t="shared" si="16"/>
        <v>0</v>
      </c>
      <c r="R84" s="20" t="str">
        <f t="shared" si="13"/>
        <v>-</v>
      </c>
      <c r="T84" s="21">
        <v>99</v>
      </c>
      <c r="U84" s="22" t="str">
        <f t="shared" si="10"/>
        <v>-</v>
      </c>
      <c r="W84" s="54">
        <f t="shared" si="14"/>
        <v>0</v>
      </c>
    </row>
    <row r="85" spans="6:23" x14ac:dyDescent="0.25">
      <c r="F85">
        <v>103</v>
      </c>
      <c r="I85" s="16">
        <v>0.56034000000000006</v>
      </c>
      <c r="J85" s="16"/>
      <c r="K85" s="17">
        <f t="shared" si="17"/>
        <v>117</v>
      </c>
      <c r="L85" s="17">
        <v>83</v>
      </c>
      <c r="M85" s="15">
        <f t="shared" si="11"/>
        <v>0</v>
      </c>
      <c r="N85" s="36">
        <f t="shared" si="12"/>
        <v>0</v>
      </c>
      <c r="O85" s="18">
        <f t="shared" si="18"/>
        <v>0</v>
      </c>
      <c r="P85" s="19">
        <f t="shared" si="15"/>
        <v>0</v>
      </c>
      <c r="Q85" s="19">
        <f t="shared" si="16"/>
        <v>0</v>
      </c>
      <c r="R85" s="20" t="str">
        <f t="shared" si="13"/>
        <v>-</v>
      </c>
      <c r="T85" s="21">
        <v>100</v>
      </c>
      <c r="U85" s="22" t="str">
        <f t="shared" si="10"/>
        <v>-</v>
      </c>
      <c r="W85" s="54">
        <f t="shared" si="14"/>
        <v>0</v>
      </c>
    </row>
    <row r="86" spans="6:23" x14ac:dyDescent="0.25">
      <c r="F86">
        <v>104</v>
      </c>
      <c r="I86" s="16">
        <v>0.53034000000000003</v>
      </c>
      <c r="J86" s="16"/>
      <c r="K86" s="17">
        <f t="shared" si="17"/>
        <v>118</v>
      </c>
      <c r="L86" s="17">
        <v>84</v>
      </c>
      <c r="M86" s="15">
        <f t="shared" si="11"/>
        <v>0</v>
      </c>
      <c r="N86" s="36">
        <f t="shared" si="12"/>
        <v>0</v>
      </c>
      <c r="O86" s="18">
        <f t="shared" si="18"/>
        <v>0</v>
      </c>
      <c r="P86" s="19">
        <f t="shared" si="15"/>
        <v>0</v>
      </c>
      <c r="Q86" s="19">
        <f t="shared" si="16"/>
        <v>0</v>
      </c>
      <c r="R86" s="20" t="str">
        <f t="shared" si="13"/>
        <v>-</v>
      </c>
      <c r="T86" s="21">
        <v>101</v>
      </c>
      <c r="U86" s="22" t="str">
        <f t="shared" si="10"/>
        <v>-</v>
      </c>
      <c r="W86" s="54">
        <f t="shared" si="14"/>
        <v>0</v>
      </c>
    </row>
    <row r="87" spans="6:23" x14ac:dyDescent="0.25">
      <c r="F87">
        <v>105</v>
      </c>
      <c r="I87" s="16">
        <v>0.49933000000000005</v>
      </c>
      <c r="J87" s="16"/>
      <c r="K87" s="17">
        <f t="shared" si="17"/>
        <v>119</v>
      </c>
      <c r="L87" s="17">
        <v>85</v>
      </c>
      <c r="M87" s="15">
        <f t="shared" si="11"/>
        <v>0</v>
      </c>
      <c r="N87" s="36">
        <f t="shared" si="12"/>
        <v>0</v>
      </c>
      <c r="O87" s="18">
        <f t="shared" si="18"/>
        <v>0</v>
      </c>
      <c r="P87" s="19">
        <f t="shared" si="15"/>
        <v>0</v>
      </c>
      <c r="Q87" s="19">
        <f t="shared" si="16"/>
        <v>0</v>
      </c>
      <c r="R87" s="20" t="str">
        <f t="shared" si="13"/>
        <v>-</v>
      </c>
      <c r="T87" s="21">
        <v>102</v>
      </c>
      <c r="U87" s="22" t="str">
        <f t="shared" si="10"/>
        <v>-</v>
      </c>
      <c r="W87" s="54">
        <f t="shared" si="14"/>
        <v>0</v>
      </c>
    </row>
    <row r="88" spans="6:23" x14ac:dyDescent="0.25">
      <c r="F88">
        <v>106</v>
      </c>
      <c r="I88" s="16">
        <v>0.46745000000000003</v>
      </c>
      <c r="J88" s="16"/>
      <c r="K88" s="17">
        <f t="shared" si="17"/>
        <v>120</v>
      </c>
      <c r="L88" s="17">
        <v>86</v>
      </c>
      <c r="M88" s="15">
        <f t="shared" si="11"/>
        <v>0</v>
      </c>
      <c r="N88" s="36">
        <f t="shared" si="12"/>
        <v>0</v>
      </c>
      <c r="O88" s="18">
        <f t="shared" si="18"/>
        <v>0</v>
      </c>
      <c r="P88" s="19">
        <f t="shared" si="15"/>
        <v>0</v>
      </c>
      <c r="Q88" s="19">
        <f t="shared" si="16"/>
        <v>0</v>
      </c>
      <c r="R88" s="20" t="str">
        <f t="shared" si="13"/>
        <v>-</v>
      </c>
      <c r="T88" s="21">
        <v>103</v>
      </c>
      <c r="U88" s="22" t="str">
        <f t="shared" si="10"/>
        <v>-</v>
      </c>
      <c r="W88" s="54">
        <f t="shared" si="14"/>
        <v>0</v>
      </c>
    </row>
    <row r="89" spans="6:23" x14ac:dyDescent="0.25">
      <c r="F89">
        <v>107</v>
      </c>
      <c r="I89" s="16">
        <v>0.43486999999999998</v>
      </c>
      <c r="J89" s="16"/>
      <c r="K89" s="17">
        <f t="shared" si="17"/>
        <v>121</v>
      </c>
      <c r="L89" s="17">
        <v>87</v>
      </c>
      <c r="M89" s="15" t="str">
        <f t="shared" si="11"/>
        <v>0</v>
      </c>
      <c r="N89" s="36">
        <f t="shared" si="12"/>
        <v>0</v>
      </c>
      <c r="O89" s="18">
        <f t="shared" si="18"/>
        <v>0</v>
      </c>
      <c r="P89" s="19">
        <f t="shared" si="15"/>
        <v>0</v>
      </c>
      <c r="Q89" s="19">
        <f t="shared" si="16"/>
        <v>0</v>
      </c>
      <c r="R89" s="20" t="str">
        <f t="shared" si="13"/>
        <v>-</v>
      </c>
      <c r="T89" s="21">
        <v>104</v>
      </c>
      <c r="U89" s="22" t="str">
        <f t="shared" si="10"/>
        <v>-</v>
      </c>
      <c r="W89" s="54">
        <f t="shared" si="14"/>
        <v>0</v>
      </c>
    </row>
    <row r="90" spans="6:23" x14ac:dyDescent="0.25">
      <c r="F90">
        <v>108</v>
      </c>
      <c r="I90" s="16"/>
      <c r="J90" s="16"/>
      <c r="K90" s="17">
        <f t="shared" si="17"/>
        <v>122</v>
      </c>
      <c r="L90" s="17">
        <v>88</v>
      </c>
      <c r="M90" s="15" t="str">
        <f t="shared" si="11"/>
        <v>0</v>
      </c>
      <c r="N90" s="36">
        <f t="shared" si="12"/>
        <v>0</v>
      </c>
      <c r="O90" s="18">
        <f t="shared" si="18"/>
        <v>0</v>
      </c>
      <c r="P90" s="19">
        <f t="shared" si="15"/>
        <v>0</v>
      </c>
      <c r="Q90" s="19">
        <f t="shared" si="16"/>
        <v>0</v>
      </c>
      <c r="R90" s="20" t="str">
        <f t="shared" si="13"/>
        <v>-</v>
      </c>
      <c r="T90" s="21">
        <v>105</v>
      </c>
      <c r="U90" s="22" t="str">
        <f t="shared" si="10"/>
        <v>-</v>
      </c>
      <c r="W90" s="54">
        <f t="shared" si="14"/>
        <v>0</v>
      </c>
    </row>
    <row r="91" spans="6:23" x14ac:dyDescent="0.25">
      <c r="F91">
        <v>109</v>
      </c>
      <c r="I91" s="16"/>
      <c r="J91" s="16"/>
      <c r="K91" s="17">
        <f t="shared" si="17"/>
        <v>123</v>
      </c>
      <c r="L91" s="17">
        <v>89</v>
      </c>
      <c r="M91" s="15" t="str">
        <f t="shared" si="11"/>
        <v>0</v>
      </c>
      <c r="N91" s="36">
        <f t="shared" si="12"/>
        <v>0</v>
      </c>
      <c r="O91" s="18">
        <f t="shared" si="18"/>
        <v>0</v>
      </c>
      <c r="P91" s="19">
        <f t="shared" si="15"/>
        <v>0</v>
      </c>
      <c r="Q91" s="19">
        <f t="shared" si="16"/>
        <v>0</v>
      </c>
      <c r="R91" s="20" t="str">
        <f t="shared" si="13"/>
        <v>-</v>
      </c>
      <c r="T91" s="21">
        <v>106</v>
      </c>
      <c r="U91" s="22" t="str">
        <f t="shared" si="10"/>
        <v>-</v>
      </c>
      <c r="W91" s="54">
        <f t="shared" si="14"/>
        <v>0</v>
      </c>
    </row>
    <row r="92" spans="6:23" x14ac:dyDescent="0.25">
      <c r="F92">
        <v>110</v>
      </c>
      <c r="I92" s="16"/>
      <c r="J92" s="16"/>
      <c r="K92" s="17">
        <f t="shared" si="17"/>
        <v>124</v>
      </c>
      <c r="L92" s="17">
        <v>90</v>
      </c>
      <c r="M92" s="15" t="str">
        <f t="shared" si="11"/>
        <v>0</v>
      </c>
      <c r="N92" s="36">
        <f t="shared" si="12"/>
        <v>0</v>
      </c>
      <c r="O92" s="18">
        <f t="shared" si="18"/>
        <v>0</v>
      </c>
      <c r="P92" s="19">
        <f t="shared" si="15"/>
        <v>0</v>
      </c>
      <c r="Q92" s="19">
        <f t="shared" si="16"/>
        <v>0</v>
      </c>
      <c r="R92" s="20" t="str">
        <f t="shared" si="13"/>
        <v>-</v>
      </c>
      <c r="T92" s="21">
        <v>107</v>
      </c>
      <c r="U92" s="22" t="str">
        <f t="shared" si="10"/>
        <v>-</v>
      </c>
      <c r="W92" s="54">
        <f t="shared" si="14"/>
        <v>0</v>
      </c>
    </row>
    <row r="93" spans="6:23" x14ac:dyDescent="0.25">
      <c r="F93">
        <v>111</v>
      </c>
      <c r="I93" s="16"/>
      <c r="J93" s="16"/>
      <c r="K93" s="17">
        <f t="shared" si="17"/>
        <v>125</v>
      </c>
      <c r="L93" s="17">
        <v>91</v>
      </c>
      <c r="M93" s="15" t="str">
        <f t="shared" si="11"/>
        <v>0</v>
      </c>
      <c r="N93" s="36">
        <f t="shared" si="12"/>
        <v>0</v>
      </c>
      <c r="O93" s="18">
        <f t="shared" si="18"/>
        <v>0</v>
      </c>
      <c r="P93" s="19">
        <f t="shared" si="15"/>
        <v>0</v>
      </c>
      <c r="Q93" s="19">
        <f t="shared" si="16"/>
        <v>0</v>
      </c>
      <c r="R93" s="20" t="str">
        <f t="shared" si="13"/>
        <v>-</v>
      </c>
      <c r="T93" s="21">
        <v>108</v>
      </c>
      <c r="U93" s="22" t="str">
        <f t="shared" si="10"/>
        <v>-</v>
      </c>
      <c r="W93" s="54">
        <f t="shared" si="14"/>
        <v>0</v>
      </c>
    </row>
    <row r="94" spans="6:23" x14ac:dyDescent="0.25">
      <c r="F94">
        <v>112</v>
      </c>
      <c r="I94" s="16"/>
      <c r="J94" s="16"/>
      <c r="K94" s="17">
        <f t="shared" si="17"/>
        <v>126</v>
      </c>
      <c r="L94" s="17">
        <v>92</v>
      </c>
      <c r="M94" s="15" t="str">
        <f t="shared" si="11"/>
        <v>0</v>
      </c>
      <c r="N94" s="36">
        <f t="shared" si="12"/>
        <v>0</v>
      </c>
      <c r="O94" s="18">
        <f t="shared" si="18"/>
        <v>0</v>
      </c>
      <c r="P94" s="19">
        <f t="shared" si="15"/>
        <v>0</v>
      </c>
      <c r="Q94" s="19">
        <f t="shared" si="16"/>
        <v>0</v>
      </c>
      <c r="R94" s="20" t="str">
        <f t="shared" si="13"/>
        <v>-</v>
      </c>
      <c r="T94" s="21">
        <v>109</v>
      </c>
      <c r="U94" s="22" t="str">
        <f t="shared" si="10"/>
        <v>-</v>
      </c>
      <c r="W94" s="54">
        <f t="shared" si="14"/>
        <v>0</v>
      </c>
    </row>
    <row r="95" spans="6:23" x14ac:dyDescent="0.25">
      <c r="F95">
        <v>113</v>
      </c>
      <c r="I95" s="16"/>
      <c r="J95" s="16"/>
      <c r="K95" s="17">
        <f t="shared" si="17"/>
        <v>127</v>
      </c>
      <c r="L95" s="17">
        <v>93</v>
      </c>
      <c r="M95" s="15" t="str">
        <f t="shared" si="11"/>
        <v>0</v>
      </c>
      <c r="N95" s="36">
        <f t="shared" si="12"/>
        <v>0</v>
      </c>
      <c r="O95" s="18">
        <f t="shared" si="18"/>
        <v>0</v>
      </c>
      <c r="P95" s="19">
        <f t="shared" si="15"/>
        <v>0</v>
      </c>
      <c r="Q95" s="19">
        <f t="shared" si="16"/>
        <v>0</v>
      </c>
      <c r="R95" s="20" t="str">
        <f t="shared" si="13"/>
        <v>-</v>
      </c>
      <c r="T95" s="21">
        <v>110</v>
      </c>
      <c r="U95" s="22" t="str">
        <f t="shared" si="10"/>
        <v>-</v>
      </c>
      <c r="W95" s="54">
        <f t="shared" si="14"/>
        <v>0</v>
      </c>
    </row>
    <row r="96" spans="6:23" x14ac:dyDescent="0.25">
      <c r="F96">
        <v>114</v>
      </c>
      <c r="I96" s="16"/>
      <c r="J96" s="16"/>
      <c r="K96" s="17">
        <f t="shared" si="17"/>
        <v>128</v>
      </c>
      <c r="L96" s="17">
        <v>94</v>
      </c>
      <c r="M96" s="15" t="str">
        <f t="shared" si="11"/>
        <v>0</v>
      </c>
      <c r="N96" s="36">
        <f t="shared" si="12"/>
        <v>0</v>
      </c>
      <c r="O96" s="18">
        <f t="shared" si="18"/>
        <v>0</v>
      </c>
      <c r="P96" s="19">
        <f t="shared" si="15"/>
        <v>0</v>
      </c>
      <c r="Q96" s="19">
        <f t="shared" si="16"/>
        <v>0</v>
      </c>
      <c r="R96" s="20" t="str">
        <f t="shared" si="13"/>
        <v>-</v>
      </c>
      <c r="T96" s="21">
        <v>111</v>
      </c>
      <c r="U96" s="22" t="str">
        <f t="shared" si="10"/>
        <v>-</v>
      </c>
      <c r="W96" s="54">
        <f t="shared" si="14"/>
        <v>0</v>
      </c>
    </row>
    <row r="97" spans="6:23" x14ac:dyDescent="0.25">
      <c r="F97">
        <v>115</v>
      </c>
      <c r="I97" s="16"/>
      <c r="J97" s="16"/>
      <c r="K97" s="17">
        <f t="shared" si="17"/>
        <v>129</v>
      </c>
      <c r="L97" s="17">
        <v>95</v>
      </c>
      <c r="M97" s="15" t="str">
        <f t="shared" si="11"/>
        <v>0</v>
      </c>
      <c r="N97" s="36">
        <f t="shared" si="12"/>
        <v>0</v>
      </c>
      <c r="O97" s="18">
        <f t="shared" si="18"/>
        <v>0</v>
      </c>
      <c r="P97" s="19">
        <f t="shared" si="15"/>
        <v>0</v>
      </c>
      <c r="Q97" s="19">
        <f t="shared" si="16"/>
        <v>0</v>
      </c>
      <c r="R97" s="20" t="str">
        <f t="shared" si="13"/>
        <v>-</v>
      </c>
      <c r="T97" s="21">
        <v>112</v>
      </c>
      <c r="U97" s="22" t="str">
        <f t="shared" si="10"/>
        <v>-</v>
      </c>
      <c r="W97" s="54">
        <f t="shared" si="14"/>
        <v>0</v>
      </c>
    </row>
    <row r="98" spans="6:23" x14ac:dyDescent="0.25">
      <c r="F98">
        <v>116</v>
      </c>
      <c r="I98" s="16"/>
      <c r="J98" s="16"/>
      <c r="K98" s="17">
        <f t="shared" si="17"/>
        <v>130</v>
      </c>
      <c r="L98" s="17">
        <v>96</v>
      </c>
      <c r="M98" s="15" t="str">
        <f t="shared" si="11"/>
        <v>0</v>
      </c>
      <c r="N98" s="36">
        <f t="shared" si="12"/>
        <v>0</v>
      </c>
      <c r="O98" s="18">
        <f t="shared" si="18"/>
        <v>0</v>
      </c>
      <c r="P98" s="19">
        <f t="shared" si="15"/>
        <v>0</v>
      </c>
      <c r="Q98" s="19">
        <f t="shared" si="16"/>
        <v>0</v>
      </c>
      <c r="R98" s="20" t="str">
        <f t="shared" si="13"/>
        <v>-</v>
      </c>
      <c r="T98" s="21">
        <v>113</v>
      </c>
      <c r="U98" s="22" t="str">
        <f t="shared" si="10"/>
        <v>-</v>
      </c>
      <c r="W98" s="54">
        <f t="shared" si="14"/>
        <v>0</v>
      </c>
    </row>
    <row r="99" spans="6:23" x14ac:dyDescent="0.25">
      <c r="F99">
        <v>117</v>
      </c>
      <c r="I99" s="16"/>
      <c r="J99" s="16"/>
      <c r="K99" s="17">
        <f t="shared" si="17"/>
        <v>131</v>
      </c>
      <c r="L99" s="17">
        <v>97</v>
      </c>
      <c r="M99" s="15" t="str">
        <f t="shared" ref="M99:M105" si="19">IFERROR(VLOOKUP($C$7+L98,$F$2:$I$105,4,FALSE),"0")</f>
        <v>0</v>
      </c>
      <c r="N99" s="36">
        <f t="shared" si="12"/>
        <v>0</v>
      </c>
      <c r="O99" s="18">
        <f t="shared" si="18"/>
        <v>0</v>
      </c>
      <c r="P99" s="19">
        <f t="shared" si="15"/>
        <v>0</v>
      </c>
      <c r="Q99" s="19">
        <f t="shared" si="16"/>
        <v>0</v>
      </c>
      <c r="R99" s="20" t="str">
        <f t="shared" si="13"/>
        <v>-</v>
      </c>
      <c r="T99" s="21">
        <v>114</v>
      </c>
      <c r="U99" s="22" t="str">
        <f t="shared" si="10"/>
        <v>-</v>
      </c>
      <c r="W99" s="54">
        <f t="shared" si="14"/>
        <v>0</v>
      </c>
    </row>
    <row r="100" spans="6:23" x14ac:dyDescent="0.25">
      <c r="F100">
        <v>118</v>
      </c>
      <c r="I100" s="16"/>
      <c r="J100" s="16"/>
      <c r="K100" s="17">
        <f t="shared" si="17"/>
        <v>132</v>
      </c>
      <c r="L100" s="17">
        <v>98</v>
      </c>
      <c r="M100" s="15" t="str">
        <f t="shared" si="19"/>
        <v>0</v>
      </c>
      <c r="N100" s="36">
        <f t="shared" si="12"/>
        <v>0</v>
      </c>
      <c r="O100" s="18">
        <f t="shared" si="18"/>
        <v>0</v>
      </c>
      <c r="P100" s="19">
        <f t="shared" si="15"/>
        <v>0</v>
      </c>
      <c r="Q100" s="19">
        <f t="shared" si="16"/>
        <v>0</v>
      </c>
      <c r="R100" s="20" t="str">
        <f t="shared" si="13"/>
        <v>-</v>
      </c>
      <c r="T100" s="21">
        <v>115</v>
      </c>
      <c r="U100" s="22" t="str">
        <f t="shared" si="10"/>
        <v>-</v>
      </c>
      <c r="W100" s="54">
        <f t="shared" si="14"/>
        <v>0</v>
      </c>
    </row>
    <row r="101" spans="6:23" x14ac:dyDescent="0.25">
      <c r="F101">
        <v>119</v>
      </c>
      <c r="I101" s="16"/>
      <c r="J101" s="16"/>
      <c r="K101" s="17">
        <f t="shared" si="17"/>
        <v>133</v>
      </c>
      <c r="L101" s="17">
        <v>99</v>
      </c>
      <c r="M101" s="15" t="str">
        <f t="shared" si="19"/>
        <v>0</v>
      </c>
      <c r="N101" s="36">
        <f t="shared" si="12"/>
        <v>0</v>
      </c>
      <c r="O101" s="18">
        <f t="shared" si="18"/>
        <v>0</v>
      </c>
      <c r="P101" s="19">
        <f t="shared" si="15"/>
        <v>0</v>
      </c>
      <c r="Q101" s="19">
        <f t="shared" si="16"/>
        <v>0</v>
      </c>
      <c r="R101" s="20" t="str">
        <f t="shared" si="13"/>
        <v>-</v>
      </c>
      <c r="T101" s="21">
        <v>116</v>
      </c>
      <c r="U101" s="22" t="str">
        <f t="shared" si="10"/>
        <v>-</v>
      </c>
      <c r="W101" s="54">
        <f t="shared" si="14"/>
        <v>0</v>
      </c>
    </row>
    <row r="102" spans="6:23" x14ac:dyDescent="0.25">
      <c r="F102">
        <v>120</v>
      </c>
      <c r="I102" s="16"/>
      <c r="J102" s="16"/>
      <c r="K102" s="17">
        <f t="shared" si="17"/>
        <v>134</v>
      </c>
      <c r="L102" s="17">
        <v>100</v>
      </c>
      <c r="M102" s="15" t="str">
        <f t="shared" si="19"/>
        <v>0</v>
      </c>
      <c r="N102" s="36">
        <f t="shared" si="12"/>
        <v>0</v>
      </c>
      <c r="O102" s="18">
        <f t="shared" si="18"/>
        <v>0</v>
      </c>
      <c r="P102" s="19">
        <f t="shared" si="15"/>
        <v>0</v>
      </c>
      <c r="Q102" s="19">
        <f t="shared" si="16"/>
        <v>0</v>
      </c>
      <c r="R102" s="20" t="str">
        <f t="shared" si="13"/>
        <v>-</v>
      </c>
      <c r="T102" s="21">
        <v>117</v>
      </c>
      <c r="U102" s="22" t="str">
        <f t="shared" si="10"/>
        <v>-</v>
      </c>
      <c r="W102" s="54">
        <f t="shared" si="14"/>
        <v>0</v>
      </c>
    </row>
    <row r="103" spans="6:23" x14ac:dyDescent="0.25">
      <c r="I103" s="16"/>
      <c r="J103" s="16"/>
      <c r="K103" s="17">
        <f t="shared" si="17"/>
        <v>135</v>
      </c>
      <c r="L103" s="17">
        <v>101</v>
      </c>
      <c r="M103" s="15" t="str">
        <f t="shared" si="19"/>
        <v>0</v>
      </c>
      <c r="N103" s="36">
        <f t="shared" si="12"/>
        <v>0</v>
      </c>
      <c r="O103" s="18">
        <f t="shared" si="18"/>
        <v>0</v>
      </c>
      <c r="P103" s="19">
        <f t="shared" si="15"/>
        <v>0</v>
      </c>
      <c r="Q103" s="19">
        <f t="shared" si="16"/>
        <v>0</v>
      </c>
      <c r="R103" s="20" t="str">
        <f t="shared" si="13"/>
        <v>-</v>
      </c>
      <c r="T103" s="21">
        <v>118</v>
      </c>
      <c r="U103" s="22" t="str">
        <f t="shared" si="10"/>
        <v>-</v>
      </c>
      <c r="W103" s="54">
        <f t="shared" si="14"/>
        <v>0</v>
      </c>
    </row>
    <row r="104" spans="6:23" x14ac:dyDescent="0.25">
      <c r="I104" s="16"/>
      <c r="J104" s="16"/>
      <c r="K104" s="17">
        <f t="shared" si="17"/>
        <v>136</v>
      </c>
      <c r="L104" s="17">
        <v>102</v>
      </c>
      <c r="M104" s="15" t="str">
        <f t="shared" si="19"/>
        <v>0</v>
      </c>
      <c r="N104" s="36">
        <f t="shared" si="12"/>
        <v>0</v>
      </c>
      <c r="O104" s="18">
        <f t="shared" si="18"/>
        <v>0</v>
      </c>
      <c r="P104" s="19">
        <f t="shared" si="15"/>
        <v>0</v>
      </c>
      <c r="Q104" s="19">
        <f t="shared" si="16"/>
        <v>0</v>
      </c>
      <c r="R104" s="20" t="str">
        <f t="shared" si="13"/>
        <v>-</v>
      </c>
      <c r="T104" s="21">
        <v>119</v>
      </c>
      <c r="U104" s="22" t="str">
        <f t="shared" si="10"/>
        <v>-</v>
      </c>
      <c r="W104" s="54">
        <f t="shared" si="14"/>
        <v>0</v>
      </c>
    </row>
    <row r="105" spans="6:23" ht="13.8" thickBot="1" x14ac:dyDescent="0.3">
      <c r="I105" s="16"/>
      <c r="J105" s="16"/>
      <c r="L105" s="17">
        <v>103</v>
      </c>
      <c r="M105" s="15" t="str">
        <f t="shared" si="19"/>
        <v>0</v>
      </c>
      <c r="N105" s="36">
        <f t="shared" si="12"/>
        <v>0</v>
      </c>
      <c r="O105" s="18">
        <f t="shared" si="18"/>
        <v>0</v>
      </c>
      <c r="P105" s="19">
        <f t="shared" si="15"/>
        <v>0</v>
      </c>
      <c r="Q105" s="19">
        <f t="shared" si="16"/>
        <v>0</v>
      </c>
      <c r="R105" s="20" t="str">
        <f t="shared" si="13"/>
        <v>-</v>
      </c>
      <c r="T105" s="37">
        <v>120</v>
      </c>
      <c r="U105" s="38" t="str">
        <f t="shared" si="10"/>
        <v>-</v>
      </c>
      <c r="W105" s="54">
        <f t="shared" si="14"/>
        <v>0</v>
      </c>
    </row>
  </sheetData>
  <mergeCells count="2">
    <mergeCell ref="N1:O1"/>
    <mergeCell ref="B14:C14"/>
  </mergeCell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6F195-ABBE-44DF-9493-54A4295A3FD7}">
  <sheetPr codeName="Sheet2"/>
  <dimension ref="A1:M105"/>
  <sheetViews>
    <sheetView topLeftCell="A2" zoomScale="88" workbookViewId="0">
      <selection activeCell="F17" sqref="F17"/>
    </sheetView>
  </sheetViews>
  <sheetFormatPr defaultRowHeight="13.2" x14ac:dyDescent="0.25"/>
  <cols>
    <col min="1" max="1" width="7.21875" bestFit="1" customWidth="1"/>
    <col min="2" max="2" width="9.88671875" bestFit="1" customWidth="1"/>
    <col min="3" max="3" width="12.77734375" bestFit="1" customWidth="1"/>
    <col min="5" max="5" width="24.6640625" bestFit="1" customWidth="1"/>
    <col min="6" max="6" width="26.44140625" bestFit="1" customWidth="1"/>
    <col min="7" max="7" width="9.5546875" bestFit="1" customWidth="1"/>
    <col min="8" max="8" width="20.109375" customWidth="1"/>
    <col min="9" max="9" width="17.5546875" bestFit="1" customWidth="1"/>
    <col min="11" max="11" width="25.109375" bestFit="1" customWidth="1"/>
  </cols>
  <sheetData>
    <row r="1" spans="1:13" ht="13.8" thickBot="1" x14ac:dyDescent="0.3">
      <c r="A1" s="1" t="s">
        <v>0</v>
      </c>
      <c r="B1" s="4" t="s">
        <v>4</v>
      </c>
      <c r="C1" s="47"/>
      <c r="I1" s="44"/>
    </row>
    <row r="2" spans="1:13" x14ac:dyDescent="0.25">
      <c r="A2" s="5">
        <v>20</v>
      </c>
      <c r="B2" s="16">
        <v>0.99697999999999998</v>
      </c>
      <c r="C2" s="16"/>
      <c r="I2" s="44"/>
    </row>
    <row r="3" spans="1:13" ht="13.8" thickBot="1" x14ac:dyDescent="0.3">
      <c r="A3" s="5">
        <v>21</v>
      </c>
      <c r="B3" s="16">
        <v>0.99717</v>
      </c>
      <c r="C3" s="16"/>
    </row>
    <row r="4" spans="1:13" ht="13.8" thickBot="1" x14ac:dyDescent="0.3">
      <c r="A4" s="5">
        <v>22</v>
      </c>
      <c r="B4" s="16">
        <v>0.99734</v>
      </c>
      <c r="C4" s="16"/>
      <c r="E4" s="76" t="s">
        <v>50</v>
      </c>
      <c r="F4" s="64" t="s">
        <v>224</v>
      </c>
      <c r="H4" s="24" t="s">
        <v>48</v>
      </c>
      <c r="I4" s="62"/>
    </row>
    <row r="5" spans="1:13" x14ac:dyDescent="0.25">
      <c r="A5" s="5">
        <v>23</v>
      </c>
      <c r="B5" s="16">
        <v>0.99748999999999999</v>
      </c>
      <c r="C5" s="16"/>
      <c r="E5" s="73" t="s">
        <v>45</v>
      </c>
      <c r="F5" s="65">
        <v>53</v>
      </c>
      <c r="H5" s="159" t="s">
        <v>32</v>
      </c>
      <c r="I5" s="160"/>
    </row>
    <row r="6" spans="1:13" ht="13.8" x14ac:dyDescent="0.3">
      <c r="A6" s="5">
        <v>24</v>
      </c>
      <c r="B6" s="16">
        <v>0.99761</v>
      </c>
      <c r="C6" s="16"/>
      <c r="E6" s="73" t="s">
        <v>16</v>
      </c>
      <c r="F6" s="66">
        <v>12</v>
      </c>
      <c r="H6" s="41" t="s">
        <v>33</v>
      </c>
      <c r="I6" s="63">
        <v>33077.688340977707</v>
      </c>
      <c r="J6" s="45"/>
    </row>
    <row r="7" spans="1:13" ht="13.8" thickBot="1" x14ac:dyDescent="0.3">
      <c r="A7" s="5">
        <v>25</v>
      </c>
      <c r="B7" s="16">
        <v>0.99772000000000005</v>
      </c>
      <c r="C7" s="16"/>
      <c r="E7" s="70" t="s">
        <v>51</v>
      </c>
      <c r="F7" s="67">
        <v>63</v>
      </c>
      <c r="H7" s="41" t="s">
        <v>34</v>
      </c>
      <c r="I7" s="63">
        <v>15000</v>
      </c>
    </row>
    <row r="8" spans="1:13" x14ac:dyDescent="0.25">
      <c r="A8" s="5">
        <v>26</v>
      </c>
      <c r="B8" s="16">
        <v>0.99780000000000002</v>
      </c>
      <c r="C8" s="16"/>
      <c r="F8" s="55"/>
      <c r="H8" s="41" t="s">
        <v>35</v>
      </c>
      <c r="I8" s="63">
        <v>40000</v>
      </c>
    </row>
    <row r="9" spans="1:13" ht="13.8" thickBot="1" x14ac:dyDescent="0.3">
      <c r="A9" s="5">
        <v>27</v>
      </c>
      <c r="B9" s="16">
        <v>0.99787000000000003</v>
      </c>
      <c r="C9" s="16"/>
      <c r="E9" s="24" t="s">
        <v>46</v>
      </c>
      <c r="F9" s="55"/>
      <c r="H9" s="42" t="s">
        <v>36</v>
      </c>
      <c r="I9" s="75"/>
    </row>
    <row r="10" spans="1:13" ht="13.8" thickBot="1" x14ac:dyDescent="0.3">
      <c r="A10" s="5">
        <v>28</v>
      </c>
      <c r="B10" s="16">
        <v>0.99792000000000003</v>
      </c>
      <c r="C10" s="16"/>
      <c r="E10" s="76" t="s">
        <v>19</v>
      </c>
      <c r="F10" s="68">
        <v>0.16</v>
      </c>
      <c r="I10" s="62"/>
      <c r="M10" s="56"/>
    </row>
    <row r="11" spans="1:13" x14ac:dyDescent="0.25">
      <c r="A11" s="5">
        <v>29</v>
      </c>
      <c r="B11" s="16">
        <v>0.99795</v>
      </c>
      <c r="C11" s="16"/>
      <c r="E11" s="73" t="s">
        <v>21</v>
      </c>
      <c r="F11" s="69">
        <v>0.86206896551724133</v>
      </c>
      <c r="H11" s="40" t="s">
        <v>37</v>
      </c>
      <c r="I11" s="74">
        <v>1000000</v>
      </c>
      <c r="K11" s="33"/>
      <c r="M11" s="56"/>
    </row>
    <row r="12" spans="1:13" x14ac:dyDescent="0.25">
      <c r="A12" s="5">
        <v>30</v>
      </c>
      <c r="B12" s="16">
        <v>0.99795999999999996</v>
      </c>
      <c r="C12" s="16"/>
      <c r="E12" s="73" t="s">
        <v>22</v>
      </c>
      <c r="F12" s="69">
        <v>0.13793103448275862</v>
      </c>
      <c r="H12" s="41" t="s">
        <v>38</v>
      </c>
      <c r="I12" s="63">
        <v>88077.688340977707</v>
      </c>
      <c r="K12" s="33"/>
      <c r="M12" s="56"/>
    </row>
    <row r="13" spans="1:13" ht="13.8" thickBot="1" x14ac:dyDescent="0.3">
      <c r="A13" s="5">
        <v>31</v>
      </c>
      <c r="B13" s="16">
        <v>0.99795</v>
      </c>
      <c r="C13" s="16"/>
      <c r="E13" s="73" t="s">
        <v>27</v>
      </c>
      <c r="F13" s="69">
        <v>0.14750592347494162</v>
      </c>
      <c r="H13" s="42" t="s">
        <v>39</v>
      </c>
      <c r="I13" s="71">
        <v>6.3455307325118966</v>
      </c>
      <c r="K13" s="46"/>
      <c r="M13" s="56"/>
    </row>
    <row r="14" spans="1:13" x14ac:dyDescent="0.25">
      <c r="A14" s="5">
        <v>32</v>
      </c>
      <c r="B14" s="16">
        <v>0.99792000000000003</v>
      </c>
      <c r="C14" s="16"/>
      <c r="E14" s="73" t="s">
        <v>25</v>
      </c>
      <c r="F14" s="69">
        <v>0.2266836034468043</v>
      </c>
      <c r="M14" s="56"/>
    </row>
    <row r="15" spans="1:13" ht="13.8" thickBot="1" x14ac:dyDescent="0.3">
      <c r="A15" s="5">
        <v>33</v>
      </c>
      <c r="B15" s="16">
        <v>0.99787999999999999</v>
      </c>
      <c r="C15" s="16"/>
      <c r="E15" s="70" t="s">
        <v>30</v>
      </c>
      <c r="F15" s="71">
        <v>0.45833333333333331</v>
      </c>
      <c r="M15" s="56"/>
    </row>
    <row r="16" spans="1:13" x14ac:dyDescent="0.25">
      <c r="A16" s="5">
        <v>34</v>
      </c>
      <c r="B16" s="16">
        <v>0.99782999999999999</v>
      </c>
      <c r="C16" s="16"/>
      <c r="F16" s="55"/>
      <c r="H16" s="40" t="s">
        <v>40</v>
      </c>
      <c r="I16" s="74">
        <v>143710.95974473914</v>
      </c>
      <c r="M16" s="56"/>
    </row>
    <row r="17" spans="1:13" ht="13.8" thickBot="1" x14ac:dyDescent="0.3">
      <c r="A17" s="5">
        <v>35</v>
      </c>
      <c r="B17" s="16">
        <v>0.99775000000000003</v>
      </c>
      <c r="C17" s="16"/>
      <c r="E17" s="24" t="s">
        <v>47</v>
      </c>
      <c r="F17" s="55"/>
      <c r="H17" s="41" t="s">
        <v>41</v>
      </c>
      <c r="I17" s="63"/>
      <c r="M17" s="56"/>
    </row>
    <row r="18" spans="1:13" x14ac:dyDescent="0.25">
      <c r="A18" s="5">
        <v>36</v>
      </c>
      <c r="B18" s="16">
        <v>0.99766999999999995</v>
      </c>
      <c r="C18" s="16"/>
      <c r="E18" s="76" t="s">
        <v>24</v>
      </c>
      <c r="F18" s="72">
        <v>5.9864971281466444</v>
      </c>
      <c r="G18" s="50"/>
      <c r="H18" s="41" t="s">
        <v>52</v>
      </c>
      <c r="I18" s="63"/>
      <c r="M18" s="56"/>
    </row>
    <row r="19" spans="1:13" x14ac:dyDescent="0.25">
      <c r="A19" s="5">
        <v>37</v>
      </c>
      <c r="B19" s="16">
        <v>0.99756</v>
      </c>
      <c r="C19" s="16"/>
      <c r="E19" s="73" t="s">
        <v>26</v>
      </c>
      <c r="F19" s="69">
        <v>0.88012085217358937</v>
      </c>
      <c r="H19" s="41" t="s">
        <v>43</v>
      </c>
      <c r="I19" s="63"/>
      <c r="M19" s="56"/>
    </row>
    <row r="20" spans="1:13" ht="13.8" thickBot="1" x14ac:dyDescent="0.3">
      <c r="A20" s="5">
        <v>38</v>
      </c>
      <c r="B20" s="16">
        <v>0.99743999999999999</v>
      </c>
      <c r="C20" s="16"/>
      <c r="E20" s="73" t="s">
        <v>28</v>
      </c>
      <c r="F20" s="69">
        <v>1.1029182439051795</v>
      </c>
      <c r="H20" s="42" t="s">
        <v>44</v>
      </c>
      <c r="I20" s="77">
        <v>11975.913312061595</v>
      </c>
      <c r="M20" s="56"/>
    </row>
    <row r="21" spans="1:13" x14ac:dyDescent="0.25">
      <c r="A21" s="5">
        <v>39</v>
      </c>
      <c r="B21" s="16">
        <v>0.99727999999999994</v>
      </c>
      <c r="C21" s="16"/>
      <c r="E21" s="73" t="s">
        <v>29</v>
      </c>
      <c r="F21" s="69">
        <v>5.2426124886067171</v>
      </c>
      <c r="K21" s="33"/>
      <c r="M21" s="56"/>
    </row>
    <row r="22" spans="1:13" ht="13.8" thickBot="1" x14ac:dyDescent="0.3">
      <c r="A22" s="5">
        <v>40</v>
      </c>
      <c r="B22" s="16">
        <v>0.99714000000000003</v>
      </c>
      <c r="C22" s="16"/>
      <c r="E22" s="70" t="s">
        <v>10</v>
      </c>
      <c r="F22" s="71">
        <v>6.6155376681955413</v>
      </c>
      <c r="K22" s="51"/>
      <c r="M22" s="56"/>
    </row>
    <row r="23" spans="1:13" x14ac:dyDescent="0.25">
      <c r="A23" s="5">
        <v>41</v>
      </c>
      <c r="B23" s="16">
        <v>0.99695999999999996</v>
      </c>
      <c r="C23" s="16"/>
      <c r="M23" s="56"/>
    </row>
    <row r="24" spans="1:13" x14ac:dyDescent="0.25">
      <c r="A24" s="5">
        <v>42</v>
      </c>
      <c r="B24" s="16">
        <v>0.99675000000000002</v>
      </c>
      <c r="C24" s="16"/>
      <c r="F24" s="52"/>
    </row>
    <row r="25" spans="1:13" x14ac:dyDescent="0.25">
      <c r="A25" s="5">
        <v>43</v>
      </c>
      <c r="B25" s="16">
        <v>0.99650000000000005</v>
      </c>
      <c r="C25" s="16"/>
      <c r="F25" s="52"/>
    </row>
    <row r="26" spans="1:13" x14ac:dyDescent="0.25">
      <c r="A26" s="5">
        <v>44</v>
      </c>
      <c r="B26" s="16">
        <v>0.99622999999999995</v>
      </c>
      <c r="C26" s="16"/>
      <c r="F26" s="52"/>
    </row>
    <row r="27" spans="1:13" x14ac:dyDescent="0.25">
      <c r="A27" s="5">
        <v>45</v>
      </c>
      <c r="B27" s="16">
        <v>0.99592000000000003</v>
      </c>
      <c r="C27" s="16"/>
      <c r="F27" s="44"/>
      <c r="H27" s="44"/>
    </row>
    <row r="28" spans="1:13" x14ac:dyDescent="0.25">
      <c r="A28" s="5">
        <v>46</v>
      </c>
      <c r="B28" s="16">
        <v>0.99556999999999995</v>
      </c>
      <c r="C28" s="16"/>
      <c r="F28" s="52"/>
    </row>
    <row r="29" spans="1:13" x14ac:dyDescent="0.25">
      <c r="A29" s="5">
        <v>47</v>
      </c>
      <c r="B29" s="16">
        <v>0.99517999999999995</v>
      </c>
      <c r="C29" s="16"/>
      <c r="F29" s="52"/>
    </row>
    <row r="30" spans="1:13" x14ac:dyDescent="0.25">
      <c r="A30" s="5">
        <v>48</v>
      </c>
      <c r="B30" s="16">
        <v>0.99473999999999996</v>
      </c>
      <c r="C30" s="16"/>
      <c r="F30" s="52"/>
      <c r="G30" s="53"/>
    </row>
    <row r="31" spans="1:13" x14ac:dyDescent="0.25">
      <c r="A31" s="5">
        <v>49</v>
      </c>
      <c r="B31" s="16">
        <v>0.99426000000000003</v>
      </c>
      <c r="C31" s="16"/>
      <c r="D31" s="52"/>
    </row>
    <row r="32" spans="1:13" x14ac:dyDescent="0.25">
      <c r="A32" s="5">
        <v>50</v>
      </c>
      <c r="B32" s="16">
        <v>0.99372000000000005</v>
      </c>
      <c r="C32" s="16"/>
      <c r="D32" s="52"/>
    </row>
    <row r="33" spans="1:7" x14ac:dyDescent="0.25">
      <c r="A33" s="5">
        <v>51</v>
      </c>
      <c r="B33" s="16">
        <v>0.99314000000000002</v>
      </c>
      <c r="C33" s="16"/>
      <c r="D33" s="52"/>
      <c r="E33" s="48"/>
      <c r="G33" s="48"/>
    </row>
    <row r="34" spans="1:7" x14ac:dyDescent="0.25">
      <c r="A34" s="5">
        <v>52</v>
      </c>
      <c r="B34" s="16">
        <v>0.99250000000000005</v>
      </c>
      <c r="C34" s="16"/>
      <c r="D34" s="52"/>
      <c r="E34" s="48"/>
      <c r="G34" s="48"/>
    </row>
    <row r="35" spans="1:7" x14ac:dyDescent="0.25">
      <c r="A35" s="5">
        <v>53</v>
      </c>
      <c r="B35" s="16">
        <v>0.99180000000000001</v>
      </c>
      <c r="C35" s="16"/>
      <c r="D35" s="52"/>
      <c r="E35" s="48"/>
      <c r="G35" s="48"/>
    </row>
    <row r="36" spans="1:7" x14ac:dyDescent="0.25">
      <c r="A36" s="5">
        <v>54</v>
      </c>
      <c r="B36" s="16">
        <v>0.99104000000000003</v>
      </c>
      <c r="C36" s="16"/>
      <c r="D36" s="52"/>
      <c r="E36" s="48"/>
      <c r="G36" s="48"/>
    </row>
    <row r="37" spans="1:7" x14ac:dyDescent="0.25">
      <c r="A37" s="5">
        <v>55</v>
      </c>
      <c r="B37" s="16">
        <v>0.99021000000000003</v>
      </c>
      <c r="C37" s="16"/>
      <c r="D37" s="52"/>
      <c r="E37" s="48"/>
      <c r="G37" s="48"/>
    </row>
    <row r="38" spans="1:7" x14ac:dyDescent="0.25">
      <c r="A38" s="5">
        <v>56</v>
      </c>
      <c r="B38" s="16">
        <v>0.98929999999999996</v>
      </c>
      <c r="C38" s="16"/>
      <c r="D38" s="52"/>
      <c r="E38" s="48"/>
      <c r="G38" s="48"/>
    </row>
    <row r="39" spans="1:7" x14ac:dyDescent="0.25">
      <c r="A39" s="5">
        <v>57</v>
      </c>
      <c r="B39" s="16">
        <v>0.98829999999999996</v>
      </c>
      <c r="C39" s="16"/>
      <c r="D39" s="52"/>
      <c r="E39" s="48"/>
      <c r="G39" s="48"/>
    </row>
    <row r="40" spans="1:7" x14ac:dyDescent="0.25">
      <c r="A40" s="5">
        <v>58</v>
      </c>
      <c r="B40" s="16">
        <v>0.98719999999999997</v>
      </c>
      <c r="C40" s="16"/>
      <c r="F40" s="52"/>
    </row>
    <row r="41" spans="1:7" x14ac:dyDescent="0.25">
      <c r="A41" s="5">
        <v>59</v>
      </c>
      <c r="B41" s="16">
        <v>0.98599000000000003</v>
      </c>
      <c r="C41" s="16"/>
      <c r="F41" s="52"/>
    </row>
    <row r="42" spans="1:7" x14ac:dyDescent="0.25">
      <c r="A42" s="5">
        <v>60</v>
      </c>
      <c r="B42" s="16">
        <v>0.98463999999999996</v>
      </c>
      <c r="C42" s="16"/>
      <c r="F42" s="52"/>
    </row>
    <row r="43" spans="1:7" x14ac:dyDescent="0.25">
      <c r="A43" s="5">
        <v>61</v>
      </c>
      <c r="B43" s="16">
        <v>0.98316000000000003</v>
      </c>
      <c r="C43" s="16"/>
      <c r="F43" s="52"/>
    </row>
    <row r="44" spans="1:7" x14ac:dyDescent="0.25">
      <c r="A44" s="5">
        <v>62</v>
      </c>
      <c r="B44" s="16">
        <v>0.98153000000000001</v>
      </c>
      <c r="C44" s="16"/>
      <c r="F44" s="52"/>
    </row>
    <row r="45" spans="1:7" x14ac:dyDescent="0.25">
      <c r="A45" s="5">
        <v>63</v>
      </c>
      <c r="B45" s="16">
        <v>0.97972999999999999</v>
      </c>
      <c r="C45" s="16"/>
      <c r="D45" s="16"/>
      <c r="F45" s="52"/>
    </row>
    <row r="46" spans="1:7" x14ac:dyDescent="0.25">
      <c r="A46" s="5">
        <v>64</v>
      </c>
      <c r="B46" s="16">
        <v>0.97775999999999996</v>
      </c>
      <c r="C46" s="16"/>
      <c r="F46" s="52"/>
    </row>
    <row r="47" spans="1:7" x14ac:dyDescent="0.25">
      <c r="A47" s="5">
        <v>65</v>
      </c>
      <c r="B47" s="16">
        <v>0.97560000000000002</v>
      </c>
      <c r="C47" s="16"/>
      <c r="F47" s="52"/>
    </row>
    <row r="48" spans="1:7" x14ac:dyDescent="0.25">
      <c r="A48" s="5">
        <v>66</v>
      </c>
      <c r="B48" s="16">
        <v>0.97324999999999995</v>
      </c>
      <c r="C48" s="16"/>
      <c r="F48" s="52"/>
    </row>
    <row r="49" spans="1:6" x14ac:dyDescent="0.25">
      <c r="A49" s="5">
        <v>67</v>
      </c>
      <c r="B49" s="16">
        <v>0.97067999999999999</v>
      </c>
      <c r="C49" s="16"/>
      <c r="F49" s="52"/>
    </row>
    <row r="50" spans="1:6" x14ac:dyDescent="0.25">
      <c r="A50" s="5">
        <v>68</v>
      </c>
      <c r="B50" s="16">
        <v>0.96789000000000003</v>
      </c>
      <c r="C50" s="16"/>
      <c r="F50" s="52"/>
    </row>
    <row r="51" spans="1:6" x14ac:dyDescent="0.25">
      <c r="A51" s="5">
        <v>69</v>
      </c>
      <c r="B51" s="16">
        <v>0.96487000000000001</v>
      </c>
      <c r="C51" s="16"/>
      <c r="F51" s="52"/>
    </row>
    <row r="52" spans="1:6" x14ac:dyDescent="0.25">
      <c r="A52" s="5">
        <v>70</v>
      </c>
      <c r="B52" s="16">
        <v>0.96160000000000001</v>
      </c>
      <c r="C52" s="16"/>
      <c r="F52" s="52"/>
    </row>
    <row r="53" spans="1:6" x14ac:dyDescent="0.25">
      <c r="A53" s="5">
        <v>71</v>
      </c>
      <c r="B53" s="16">
        <v>0.95808000000000004</v>
      </c>
      <c r="C53" s="16"/>
      <c r="F53" s="52"/>
    </row>
    <row r="54" spans="1:6" x14ac:dyDescent="0.25">
      <c r="A54" s="5">
        <v>72</v>
      </c>
      <c r="B54" s="16">
        <v>0.95428000000000002</v>
      </c>
      <c r="C54" s="16"/>
      <c r="F54" s="52"/>
    </row>
    <row r="55" spans="1:6" x14ac:dyDescent="0.25">
      <c r="A55" s="5">
        <v>73</v>
      </c>
      <c r="B55" s="16">
        <v>0.95020000000000004</v>
      </c>
      <c r="C55" s="16"/>
      <c r="F55" s="52"/>
    </row>
    <row r="56" spans="1:6" x14ac:dyDescent="0.25">
      <c r="A56" s="5">
        <v>74</v>
      </c>
      <c r="B56" s="16">
        <v>0.94581000000000004</v>
      </c>
      <c r="C56" s="16"/>
      <c r="F56" s="52"/>
    </row>
    <row r="57" spans="1:6" x14ac:dyDescent="0.25">
      <c r="A57" s="5">
        <v>75</v>
      </c>
      <c r="B57" s="16">
        <v>0.94106000000000001</v>
      </c>
      <c r="C57" s="16"/>
      <c r="F57" s="52"/>
    </row>
    <row r="58" spans="1:6" x14ac:dyDescent="0.25">
      <c r="A58" s="5">
        <v>76</v>
      </c>
      <c r="B58" s="16">
        <v>0.93589</v>
      </c>
      <c r="C58" s="16"/>
      <c r="F58" s="52"/>
    </row>
    <row r="59" spans="1:6" x14ac:dyDescent="0.25">
      <c r="A59" s="5">
        <v>77</v>
      </c>
      <c r="B59" s="16">
        <v>0.93025999999999998</v>
      </c>
      <c r="C59" s="16"/>
      <c r="F59" s="52"/>
    </row>
    <row r="60" spans="1:6" x14ac:dyDescent="0.25">
      <c r="A60" s="5">
        <v>78</v>
      </c>
      <c r="B60" s="16">
        <v>0.92412000000000005</v>
      </c>
      <c r="C60" s="16"/>
      <c r="F60" s="52"/>
    </row>
    <row r="61" spans="1:6" x14ac:dyDescent="0.25">
      <c r="A61" s="5">
        <v>79</v>
      </c>
      <c r="B61" s="16">
        <v>0.91741000000000006</v>
      </c>
      <c r="C61" s="16"/>
      <c r="F61" s="52"/>
    </row>
    <row r="62" spans="1:6" x14ac:dyDescent="0.25">
      <c r="A62" s="5">
        <v>80</v>
      </c>
      <c r="B62" s="16">
        <v>0.91008</v>
      </c>
      <c r="C62" s="16"/>
      <c r="F62" s="52"/>
    </row>
    <row r="63" spans="1:6" x14ac:dyDescent="0.25">
      <c r="A63" s="5">
        <v>81</v>
      </c>
      <c r="B63" s="16">
        <v>0.90207999999999999</v>
      </c>
      <c r="C63" s="16"/>
      <c r="F63" s="52"/>
    </row>
    <row r="64" spans="1:6" x14ac:dyDescent="0.25">
      <c r="A64" s="5">
        <v>82</v>
      </c>
      <c r="B64" s="16">
        <v>0.89336000000000004</v>
      </c>
      <c r="C64" s="16"/>
      <c r="F64" s="52"/>
    </row>
    <row r="65" spans="1:6" x14ac:dyDescent="0.25">
      <c r="A65" s="5">
        <v>83</v>
      </c>
      <c r="B65" s="16">
        <v>0.88387000000000004</v>
      </c>
      <c r="C65" s="16"/>
      <c r="F65" s="52"/>
    </row>
    <row r="66" spans="1:6" x14ac:dyDescent="0.25">
      <c r="A66" s="5">
        <v>84</v>
      </c>
      <c r="B66" s="16">
        <v>0.87355000000000005</v>
      </c>
      <c r="C66" s="16"/>
      <c r="F66" s="52"/>
    </row>
    <row r="67" spans="1:6" x14ac:dyDescent="0.25">
      <c r="A67" s="5">
        <v>85</v>
      </c>
      <c r="B67" s="16">
        <v>0.86236000000000002</v>
      </c>
      <c r="C67" s="16"/>
      <c r="F67" s="52"/>
    </row>
    <row r="68" spans="1:6" x14ac:dyDescent="0.25">
      <c r="A68" s="5">
        <v>86</v>
      </c>
      <c r="B68" s="16">
        <v>0.85024</v>
      </c>
      <c r="C68" s="16"/>
      <c r="F68" s="52"/>
    </row>
    <row r="69" spans="1:6" x14ac:dyDescent="0.25">
      <c r="A69" s="5">
        <v>87</v>
      </c>
      <c r="B69" s="16">
        <v>0.83714</v>
      </c>
      <c r="C69" s="16"/>
      <c r="F69" s="52"/>
    </row>
    <row r="70" spans="1:6" x14ac:dyDescent="0.25">
      <c r="A70" s="5">
        <v>88</v>
      </c>
      <c r="B70" s="16">
        <v>0.82301000000000002</v>
      </c>
      <c r="C70" s="16"/>
      <c r="F70" s="52"/>
    </row>
    <row r="71" spans="1:6" x14ac:dyDescent="0.25">
      <c r="A71" s="5">
        <v>89</v>
      </c>
      <c r="B71" s="16">
        <v>0.80779999999999996</v>
      </c>
      <c r="C71" s="16"/>
      <c r="F71" s="52"/>
    </row>
    <row r="72" spans="1:6" x14ac:dyDescent="0.25">
      <c r="A72" s="5">
        <v>90</v>
      </c>
      <c r="B72" s="16">
        <v>0.79157999999999995</v>
      </c>
      <c r="C72" s="16"/>
      <c r="F72" s="52"/>
    </row>
    <row r="73" spans="1:6" x14ac:dyDescent="0.25">
      <c r="A73" s="5">
        <v>91</v>
      </c>
      <c r="B73" s="16">
        <v>0.7742</v>
      </c>
      <c r="C73" s="16"/>
      <c r="F73" s="52"/>
    </row>
    <row r="74" spans="1:6" x14ac:dyDescent="0.25">
      <c r="A74" s="5">
        <v>92</v>
      </c>
      <c r="B74" s="16">
        <v>0.75560000000000005</v>
      </c>
      <c r="C74" s="16"/>
      <c r="F74" s="52"/>
    </row>
    <row r="75" spans="1:6" x14ac:dyDescent="0.25">
      <c r="A75" s="5">
        <v>93</v>
      </c>
      <c r="B75" s="16">
        <v>0.73575000000000002</v>
      </c>
      <c r="C75" s="16"/>
      <c r="F75" s="52"/>
    </row>
    <row r="76" spans="1:6" x14ac:dyDescent="0.25">
      <c r="A76" s="5">
        <v>94</v>
      </c>
      <c r="B76" s="16">
        <v>0.71462000000000003</v>
      </c>
      <c r="C76" s="16"/>
      <c r="F76" s="52"/>
    </row>
    <row r="77" spans="1:6" x14ac:dyDescent="0.25">
      <c r="A77" s="5">
        <v>95</v>
      </c>
      <c r="B77" s="16">
        <v>0.69216</v>
      </c>
      <c r="C77" s="16"/>
      <c r="F77" s="52"/>
    </row>
    <row r="78" spans="1:6" x14ac:dyDescent="0.25">
      <c r="A78" s="5">
        <v>96</v>
      </c>
      <c r="B78" s="16">
        <v>0.66839000000000004</v>
      </c>
      <c r="C78" s="16"/>
      <c r="F78" s="52"/>
    </row>
    <row r="79" spans="1:6" x14ac:dyDescent="0.25">
      <c r="A79" s="5">
        <v>97</v>
      </c>
      <c r="B79" s="16">
        <v>0.64328999999999992</v>
      </c>
      <c r="C79" s="16"/>
      <c r="F79" s="52"/>
    </row>
    <row r="80" spans="1:6" x14ac:dyDescent="0.25">
      <c r="A80" s="5">
        <v>98</v>
      </c>
      <c r="B80" s="16">
        <v>0.61688999999999994</v>
      </c>
      <c r="C80" s="16"/>
      <c r="F80" s="52"/>
    </row>
    <row r="81" spans="1:6" x14ac:dyDescent="0.25">
      <c r="A81" s="5">
        <v>99</v>
      </c>
      <c r="B81" s="16">
        <v>0.58922000000000008</v>
      </c>
      <c r="C81" s="16"/>
      <c r="F81" s="52"/>
    </row>
    <row r="82" spans="1:6" x14ac:dyDescent="0.25">
      <c r="A82" s="5">
        <v>100</v>
      </c>
      <c r="B82" s="16">
        <v>0.56034000000000006</v>
      </c>
      <c r="C82" s="16"/>
      <c r="F82" s="52"/>
    </row>
    <row r="83" spans="1:6" x14ac:dyDescent="0.25">
      <c r="A83" s="5">
        <v>101</v>
      </c>
      <c r="B83" s="16">
        <v>0.53034000000000003</v>
      </c>
      <c r="C83" s="16"/>
      <c r="F83" s="52"/>
    </row>
    <row r="84" spans="1:6" x14ac:dyDescent="0.25">
      <c r="A84" s="5">
        <v>102</v>
      </c>
      <c r="B84" s="16">
        <v>0.49933000000000005</v>
      </c>
      <c r="C84" s="16"/>
      <c r="F84" s="52"/>
    </row>
    <row r="85" spans="1:6" x14ac:dyDescent="0.25">
      <c r="A85" s="5">
        <v>103</v>
      </c>
      <c r="B85" s="16">
        <v>0.46745000000000003</v>
      </c>
      <c r="C85" s="16"/>
      <c r="F85" s="52"/>
    </row>
    <row r="86" spans="1:6" x14ac:dyDescent="0.25">
      <c r="A86" s="5">
        <v>104</v>
      </c>
      <c r="B86" s="16">
        <v>0.43486999999999998</v>
      </c>
      <c r="C86" s="16"/>
      <c r="F86" s="52"/>
    </row>
    <row r="87" spans="1:6" x14ac:dyDescent="0.25">
      <c r="A87" s="5"/>
      <c r="B87" s="16"/>
      <c r="C87" s="16"/>
      <c r="F87" s="52"/>
    </row>
    <row r="88" spans="1:6" x14ac:dyDescent="0.25">
      <c r="A88" s="5"/>
      <c r="B88" s="16"/>
      <c r="C88" s="16"/>
      <c r="F88" s="52"/>
    </row>
    <row r="89" spans="1:6" x14ac:dyDescent="0.25">
      <c r="A89" s="5"/>
      <c r="B89" s="16"/>
      <c r="C89" s="16"/>
      <c r="F89" s="52"/>
    </row>
    <row r="90" spans="1:6" x14ac:dyDescent="0.25">
      <c r="A90" s="5"/>
      <c r="B90" s="16"/>
      <c r="C90" s="16"/>
      <c r="F90" s="52"/>
    </row>
    <row r="91" spans="1:6" x14ac:dyDescent="0.25">
      <c r="A91" s="5"/>
      <c r="B91" s="16"/>
      <c r="C91" s="16"/>
      <c r="F91" s="52"/>
    </row>
    <row r="92" spans="1:6" x14ac:dyDescent="0.25">
      <c r="A92" s="5"/>
      <c r="B92" s="16"/>
      <c r="C92" s="16"/>
      <c r="F92" s="52"/>
    </row>
    <row r="93" spans="1:6" x14ac:dyDescent="0.25">
      <c r="A93" s="5"/>
      <c r="B93" s="16"/>
      <c r="C93" s="16"/>
      <c r="F93" s="52"/>
    </row>
    <row r="94" spans="1:6" x14ac:dyDescent="0.25">
      <c r="A94" s="5"/>
      <c r="B94" s="16"/>
      <c r="C94" s="16"/>
      <c r="F94" s="52"/>
    </row>
    <row r="95" spans="1:6" x14ac:dyDescent="0.25">
      <c r="A95" s="5"/>
      <c r="B95" s="16"/>
      <c r="C95" s="16"/>
      <c r="F95" s="52"/>
    </row>
    <row r="96" spans="1:6" x14ac:dyDescent="0.25">
      <c r="A96" s="5"/>
      <c r="B96" s="16"/>
      <c r="C96" s="16"/>
      <c r="F96" s="52"/>
    </row>
    <row r="97" spans="1:6" x14ac:dyDescent="0.25">
      <c r="A97" s="5"/>
      <c r="B97" s="16"/>
      <c r="C97" s="16"/>
      <c r="F97" s="52"/>
    </row>
    <row r="98" spans="1:6" x14ac:dyDescent="0.25">
      <c r="A98" s="5"/>
      <c r="B98" s="16"/>
      <c r="C98" s="16"/>
      <c r="F98" s="52"/>
    </row>
    <row r="99" spans="1:6" x14ac:dyDescent="0.25">
      <c r="A99" s="5"/>
      <c r="B99" s="16"/>
      <c r="C99" s="16"/>
      <c r="F99" s="52"/>
    </row>
    <row r="100" spans="1:6" x14ac:dyDescent="0.25">
      <c r="A100" s="5"/>
      <c r="B100" s="16"/>
      <c r="C100" s="16"/>
      <c r="F100" s="52"/>
    </row>
    <row r="101" spans="1:6" x14ac:dyDescent="0.25">
      <c r="A101" s="5"/>
      <c r="B101" s="16"/>
      <c r="C101" s="16"/>
    </row>
    <row r="102" spans="1:6" x14ac:dyDescent="0.25">
      <c r="A102" s="5"/>
      <c r="B102" s="16"/>
      <c r="C102" s="16"/>
    </row>
    <row r="103" spans="1:6" x14ac:dyDescent="0.25">
      <c r="C103" s="16"/>
    </row>
    <row r="104" spans="1:6" x14ac:dyDescent="0.25">
      <c r="C104" s="16"/>
    </row>
    <row r="105" spans="1:6" x14ac:dyDescent="0.25">
      <c r="C105" s="16"/>
    </row>
  </sheetData>
  <mergeCells count="1">
    <mergeCell ref="H5:I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A99B1-8D64-4E1F-A2A3-9F1C855B9CD3}">
  <sheetPr codeName="Sheet4">
    <pageSetUpPr fitToPage="1"/>
  </sheetPr>
  <dimension ref="F1:Q64"/>
  <sheetViews>
    <sheetView showGridLines="0" zoomScale="52" workbookViewId="0">
      <selection activeCell="L47" sqref="L47:N47"/>
    </sheetView>
  </sheetViews>
  <sheetFormatPr defaultRowHeight="16.8" x14ac:dyDescent="0.3"/>
  <cols>
    <col min="1" max="4" width="8.88671875" style="78"/>
    <col min="5" max="5" width="8.44140625" style="78" customWidth="1"/>
    <col min="6" max="6" width="4.33203125" style="78" customWidth="1"/>
    <col min="7" max="9" width="11.6640625" style="78" customWidth="1"/>
    <col min="10" max="10" width="17.44140625" style="78" customWidth="1"/>
    <col min="11" max="12" width="11.6640625" style="78" customWidth="1"/>
    <col min="13" max="13" width="15.5546875" style="78" customWidth="1"/>
    <col min="14" max="15" width="11.6640625" style="78" customWidth="1"/>
    <col min="16" max="16" width="8.77734375" style="78" customWidth="1"/>
    <col min="17" max="17" width="4.6640625" style="78" customWidth="1"/>
    <col min="18" max="16384" width="8.88671875" style="78"/>
  </cols>
  <sheetData>
    <row r="1" spans="6:17" ht="17.399999999999999" thickBot="1" x14ac:dyDescent="0.35"/>
    <row r="2" spans="6:17" x14ac:dyDescent="0.3">
      <c r="F2" s="79"/>
      <c r="G2" s="80"/>
      <c r="H2" s="80"/>
      <c r="I2" s="80"/>
      <c r="J2" s="80"/>
      <c r="K2" s="80"/>
      <c r="L2" s="80"/>
      <c r="M2" s="80"/>
      <c r="N2" s="80"/>
      <c r="O2" s="80"/>
      <c r="P2" s="80"/>
      <c r="Q2" s="81"/>
    </row>
    <row r="3" spans="6:17" x14ac:dyDescent="0.3">
      <c r="F3" s="82"/>
      <c r="Q3" s="83"/>
    </row>
    <row r="4" spans="6:17" x14ac:dyDescent="0.3">
      <c r="F4" s="82"/>
      <c r="Q4" s="83"/>
    </row>
    <row r="5" spans="6:17" x14ac:dyDescent="0.3">
      <c r="F5" s="82"/>
      <c r="Q5" s="83"/>
    </row>
    <row r="6" spans="6:17" x14ac:dyDescent="0.3">
      <c r="F6" s="82"/>
      <c r="Q6" s="83"/>
    </row>
    <row r="7" spans="6:17" x14ac:dyDescent="0.3">
      <c r="F7" s="82"/>
      <c r="Q7" s="83"/>
    </row>
    <row r="8" spans="6:17" x14ac:dyDescent="0.3">
      <c r="F8" s="82"/>
      <c r="Q8" s="83"/>
    </row>
    <row r="9" spans="6:17" x14ac:dyDescent="0.3">
      <c r="F9" s="82"/>
      <c r="Q9" s="83"/>
    </row>
    <row r="10" spans="6:17" x14ac:dyDescent="0.3">
      <c r="F10" s="82"/>
      <c r="Q10" s="83"/>
    </row>
    <row r="11" spans="6:17" x14ac:dyDescent="0.3">
      <c r="F11" s="82"/>
      <c r="G11" s="84"/>
      <c r="Q11" s="83"/>
    </row>
    <row r="12" spans="6:17" x14ac:dyDescent="0.3">
      <c r="F12" s="82"/>
      <c r="Q12" s="83"/>
    </row>
    <row r="13" spans="6:17" x14ac:dyDescent="0.3">
      <c r="F13" s="82"/>
      <c r="Q13" s="83"/>
    </row>
    <row r="14" spans="6:17" x14ac:dyDescent="0.3">
      <c r="F14" s="82"/>
      <c r="Q14" s="83"/>
    </row>
    <row r="15" spans="6:17" ht="15" customHeight="1" x14ac:dyDescent="0.3">
      <c r="F15" s="82"/>
      <c r="Q15" s="83"/>
    </row>
    <row r="16" spans="6:17" ht="15" customHeight="1" x14ac:dyDescent="0.3">
      <c r="F16" s="82"/>
      <c r="Q16" s="83"/>
    </row>
    <row r="17" spans="6:17" ht="15" customHeight="1" x14ac:dyDescent="0.3">
      <c r="F17" s="82"/>
      <c r="Q17" s="83"/>
    </row>
    <row r="18" spans="6:17" ht="15" customHeight="1" x14ac:dyDescent="0.3">
      <c r="F18" s="82"/>
      <c r="I18" s="88"/>
      <c r="J18" s="88"/>
      <c r="K18" s="88"/>
      <c r="L18" s="88"/>
      <c r="N18" s="88"/>
      <c r="Q18" s="83"/>
    </row>
    <row r="19" spans="6:17" ht="15" customHeight="1" thickBot="1" x14ac:dyDescent="0.35">
      <c r="F19" s="82"/>
      <c r="I19" s="88"/>
      <c r="J19" s="88"/>
      <c r="K19" s="88"/>
      <c r="L19" s="88"/>
      <c r="M19" s="88"/>
      <c r="N19" s="88"/>
      <c r="Q19" s="83"/>
    </row>
    <row r="20" spans="6:17" ht="24.6" customHeight="1" thickBot="1" x14ac:dyDescent="0.35">
      <c r="F20" s="82"/>
      <c r="G20" s="122" t="s">
        <v>53</v>
      </c>
      <c r="H20" s="123"/>
      <c r="I20" s="123"/>
      <c r="J20" s="161" t="s">
        <v>218</v>
      </c>
      <c r="K20" s="161"/>
      <c r="L20" s="123"/>
      <c r="M20" s="124" t="s">
        <v>68</v>
      </c>
      <c r="N20" s="123"/>
      <c r="O20" s="165">
        <v>45104</v>
      </c>
      <c r="P20" s="166"/>
      <c r="Q20" s="83"/>
    </row>
    <row r="21" spans="6:17" ht="18" customHeight="1" thickBot="1" x14ac:dyDescent="0.35">
      <c r="F21" s="82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3"/>
    </row>
    <row r="22" spans="6:17" ht="27" customHeight="1" thickBot="1" x14ac:dyDescent="0.35">
      <c r="F22" s="82"/>
      <c r="G22" s="167" t="s">
        <v>56</v>
      </c>
      <c r="H22" s="168"/>
      <c r="I22" s="168"/>
      <c r="J22" s="168"/>
      <c r="K22" s="168"/>
      <c r="L22" s="168"/>
      <c r="M22" s="168"/>
      <c r="N22" s="168"/>
      <c r="O22" s="168"/>
      <c r="P22" s="169"/>
      <c r="Q22" s="83"/>
    </row>
    <row r="23" spans="6:17" ht="18.600000000000001" x14ac:dyDescent="0.3">
      <c r="F23" s="82"/>
      <c r="G23" s="95"/>
      <c r="H23" s="92"/>
      <c r="I23" s="92"/>
      <c r="J23" s="92"/>
      <c r="K23" s="88"/>
      <c r="L23" s="88"/>
      <c r="M23" s="93"/>
      <c r="N23" s="93"/>
      <c r="O23" s="93"/>
      <c r="P23" s="96"/>
      <c r="Q23" s="83"/>
    </row>
    <row r="24" spans="6:17" ht="19.2" x14ac:dyDescent="0.35">
      <c r="F24" s="82"/>
      <c r="G24" s="177" t="s">
        <v>54</v>
      </c>
      <c r="H24" s="178"/>
      <c r="I24" s="178"/>
      <c r="J24" s="178"/>
      <c r="K24" s="120" t="s">
        <v>55</v>
      </c>
      <c r="L24" s="121"/>
      <c r="M24" s="173" t="s">
        <v>80</v>
      </c>
      <c r="N24" s="173"/>
      <c r="O24" s="173"/>
      <c r="P24" s="174"/>
      <c r="Q24" s="83"/>
    </row>
    <row r="25" spans="6:17" ht="18.600000000000001" x14ac:dyDescent="0.3">
      <c r="F25" s="82"/>
      <c r="G25" s="95"/>
      <c r="H25" s="92"/>
      <c r="I25" s="92"/>
      <c r="J25" s="92"/>
      <c r="K25" s="88"/>
      <c r="L25" s="88"/>
      <c r="M25" s="93"/>
      <c r="N25" s="93"/>
      <c r="O25" s="93"/>
      <c r="P25" s="96"/>
      <c r="Q25" s="83"/>
    </row>
    <row r="26" spans="6:17" ht="19.2" x14ac:dyDescent="0.35">
      <c r="F26" s="82"/>
      <c r="G26" s="177" t="s">
        <v>57</v>
      </c>
      <c r="H26" s="178"/>
      <c r="I26" s="178"/>
      <c r="J26" s="178"/>
      <c r="K26" s="120" t="s">
        <v>55</v>
      </c>
      <c r="L26" s="121"/>
      <c r="M26" s="173" t="s">
        <v>224</v>
      </c>
      <c r="N26" s="173"/>
      <c r="O26" s="173"/>
      <c r="P26" s="174"/>
      <c r="Q26" s="83"/>
    </row>
    <row r="27" spans="6:17" ht="18.600000000000001" x14ac:dyDescent="0.3">
      <c r="F27" s="82"/>
      <c r="G27" s="95"/>
      <c r="H27" s="92"/>
      <c r="I27" s="92"/>
      <c r="J27" s="92"/>
      <c r="K27" s="88"/>
      <c r="L27" s="88"/>
      <c r="M27" s="93"/>
      <c r="N27" s="93"/>
      <c r="O27" s="93"/>
      <c r="P27" s="96"/>
      <c r="Q27" s="83"/>
    </row>
    <row r="28" spans="6:17" ht="19.2" x14ac:dyDescent="0.35">
      <c r="F28" s="82"/>
      <c r="G28" s="177" t="s">
        <v>58</v>
      </c>
      <c r="H28" s="178"/>
      <c r="I28" s="178"/>
      <c r="J28" s="178"/>
      <c r="K28" s="120" t="s">
        <v>55</v>
      </c>
      <c r="L28" s="121"/>
      <c r="M28" s="175">
        <v>25792</v>
      </c>
      <c r="N28" s="175"/>
      <c r="O28" s="175"/>
      <c r="P28" s="176"/>
      <c r="Q28" s="83"/>
    </row>
    <row r="29" spans="6:17" ht="18.600000000000001" x14ac:dyDescent="0.3">
      <c r="F29" s="82"/>
      <c r="G29" s="95"/>
      <c r="H29" s="92"/>
      <c r="I29" s="92"/>
      <c r="J29" s="92"/>
      <c r="K29" s="88"/>
      <c r="L29" s="88"/>
      <c r="M29" s="93"/>
      <c r="N29" s="93"/>
      <c r="O29" s="93"/>
      <c r="P29" s="96"/>
      <c r="Q29" s="83"/>
    </row>
    <row r="30" spans="6:17" ht="19.2" x14ac:dyDescent="0.35">
      <c r="F30" s="82"/>
      <c r="G30" s="177" t="s">
        <v>59</v>
      </c>
      <c r="H30" s="178"/>
      <c r="I30" s="178"/>
      <c r="J30" s="178"/>
      <c r="K30" s="120" t="s">
        <v>55</v>
      </c>
      <c r="L30" s="121"/>
      <c r="M30" s="193">
        <v>53</v>
      </c>
      <c r="N30" s="193"/>
      <c r="O30" s="193"/>
      <c r="P30" s="194"/>
      <c r="Q30" s="83"/>
    </row>
    <row r="31" spans="6:17" ht="18.600000000000001" x14ac:dyDescent="0.3">
      <c r="F31" s="82"/>
      <c r="G31" s="95"/>
      <c r="H31" s="92"/>
      <c r="I31" s="92"/>
      <c r="J31" s="92"/>
      <c r="K31" s="88"/>
      <c r="L31" s="88"/>
      <c r="M31" s="93"/>
      <c r="N31" s="93"/>
      <c r="O31" s="93"/>
      <c r="P31" s="96"/>
      <c r="Q31" s="83"/>
    </row>
    <row r="32" spans="6:17" ht="19.2" x14ac:dyDescent="0.35">
      <c r="F32" s="82"/>
      <c r="G32" s="177" t="s">
        <v>60</v>
      </c>
      <c r="H32" s="178"/>
      <c r="I32" s="178"/>
      <c r="J32" s="178"/>
      <c r="K32" s="120" t="s">
        <v>55</v>
      </c>
      <c r="L32" s="121"/>
      <c r="M32" s="173" t="s">
        <v>73</v>
      </c>
      <c r="N32" s="173"/>
      <c r="O32" s="173"/>
      <c r="P32" s="174"/>
      <c r="Q32" s="83"/>
    </row>
    <row r="33" spans="6:17" ht="18.600000000000001" x14ac:dyDescent="0.3">
      <c r="F33" s="82"/>
      <c r="G33" s="95"/>
      <c r="H33" s="92"/>
      <c r="I33" s="92"/>
      <c r="J33" s="92"/>
      <c r="K33" s="88"/>
      <c r="L33" s="88"/>
      <c r="M33" s="93"/>
      <c r="N33" s="93"/>
      <c r="O33" s="93"/>
      <c r="P33" s="96"/>
      <c r="Q33" s="83"/>
    </row>
    <row r="34" spans="6:17" ht="19.2" x14ac:dyDescent="0.35">
      <c r="F34" s="82"/>
      <c r="G34" s="177" t="s">
        <v>61</v>
      </c>
      <c r="H34" s="178"/>
      <c r="I34" s="178"/>
      <c r="J34" s="178"/>
      <c r="K34" s="120" t="s">
        <v>55</v>
      </c>
      <c r="L34" s="121"/>
      <c r="M34" s="192">
        <v>1000000</v>
      </c>
      <c r="N34" s="173"/>
      <c r="O34" s="173"/>
      <c r="P34" s="174"/>
      <c r="Q34" s="83"/>
    </row>
    <row r="35" spans="6:17" ht="18.600000000000001" x14ac:dyDescent="0.3">
      <c r="F35" s="82"/>
      <c r="G35" s="95"/>
      <c r="H35" s="92"/>
      <c r="I35" s="92"/>
      <c r="J35" s="92"/>
      <c r="K35" s="88"/>
      <c r="L35" s="88"/>
      <c r="M35" s="93"/>
      <c r="N35" s="93"/>
      <c r="O35" s="93"/>
      <c r="P35" s="96"/>
      <c r="Q35" s="83"/>
    </row>
    <row r="36" spans="6:17" ht="19.2" x14ac:dyDescent="0.35">
      <c r="F36" s="82"/>
      <c r="G36" s="177" t="s">
        <v>85</v>
      </c>
      <c r="H36" s="178"/>
      <c r="I36" s="178"/>
      <c r="J36" s="178"/>
      <c r="K36" s="120" t="s">
        <v>55</v>
      </c>
      <c r="L36" s="121"/>
      <c r="M36" s="175">
        <v>45107</v>
      </c>
      <c r="N36" s="175"/>
      <c r="O36" s="175"/>
      <c r="P36" s="176"/>
      <c r="Q36" s="83"/>
    </row>
    <row r="37" spans="6:17" ht="19.2" x14ac:dyDescent="0.35">
      <c r="F37" s="82"/>
      <c r="G37" s="95"/>
      <c r="H37" s="92"/>
      <c r="I37" s="92"/>
      <c r="J37" s="92"/>
      <c r="K37" s="88"/>
      <c r="L37" s="88"/>
      <c r="M37" s="90"/>
      <c r="N37" s="93"/>
      <c r="O37" s="93"/>
      <c r="P37" s="96"/>
      <c r="Q37" s="83"/>
    </row>
    <row r="38" spans="6:17" ht="19.2" x14ac:dyDescent="0.35">
      <c r="F38" s="82"/>
      <c r="G38" s="177" t="s">
        <v>62</v>
      </c>
      <c r="H38" s="178"/>
      <c r="I38" s="178"/>
      <c r="J38" s="178"/>
      <c r="K38" s="120" t="s">
        <v>55</v>
      </c>
      <c r="L38" s="121"/>
      <c r="M38" s="173" t="s">
        <v>74</v>
      </c>
      <c r="N38" s="173"/>
      <c r="O38" s="173"/>
      <c r="P38" s="174"/>
      <c r="Q38" s="83"/>
    </row>
    <row r="39" spans="6:17" ht="18.600000000000001" x14ac:dyDescent="0.3">
      <c r="F39" s="82"/>
      <c r="G39" s="97"/>
      <c r="H39" s="88"/>
      <c r="I39" s="88"/>
      <c r="J39" s="88"/>
      <c r="K39" s="88"/>
      <c r="L39" s="88"/>
      <c r="M39" s="93"/>
      <c r="N39" s="93"/>
      <c r="O39" s="93"/>
      <c r="P39" s="96"/>
      <c r="Q39" s="83"/>
    </row>
    <row r="40" spans="6:17" ht="19.8" thickBot="1" x14ac:dyDescent="0.4">
      <c r="F40" s="82"/>
      <c r="G40" s="170" t="s">
        <v>67</v>
      </c>
      <c r="H40" s="171"/>
      <c r="I40" s="171"/>
      <c r="J40" s="171"/>
      <c r="K40" s="171"/>
      <c r="L40" s="171"/>
      <c r="M40" s="171"/>
      <c r="N40" s="171"/>
      <c r="O40" s="171"/>
      <c r="P40" s="172"/>
      <c r="Q40" s="83"/>
    </row>
    <row r="41" spans="6:17" ht="18.600000000000001" x14ac:dyDescent="0.3">
      <c r="F41" s="82"/>
      <c r="G41" s="88"/>
      <c r="H41" s="88"/>
      <c r="I41" s="88"/>
      <c r="J41" s="88"/>
      <c r="K41" s="179"/>
      <c r="L41" s="179"/>
      <c r="M41" s="88"/>
      <c r="N41" s="88"/>
      <c r="O41" s="88"/>
      <c r="P41" s="88"/>
      <c r="Q41" s="83"/>
    </row>
    <row r="42" spans="6:17" ht="18.600000000000001" x14ac:dyDescent="0.3">
      <c r="F42" s="82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3"/>
    </row>
    <row r="43" spans="6:17" ht="18.600000000000001" x14ac:dyDescent="0.3">
      <c r="F43" s="82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3"/>
    </row>
    <row r="44" spans="6:17" ht="19.2" thickBot="1" x14ac:dyDescent="0.35">
      <c r="F44" s="82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3"/>
    </row>
    <row r="45" spans="6:17" ht="19.2" x14ac:dyDescent="0.35">
      <c r="F45" s="82"/>
      <c r="G45" s="88"/>
      <c r="H45" s="88"/>
      <c r="I45" s="183" t="s">
        <v>63</v>
      </c>
      <c r="J45" s="184"/>
      <c r="K45" s="184"/>
      <c r="L45" s="184" t="s">
        <v>64</v>
      </c>
      <c r="M45" s="184"/>
      <c r="N45" s="185"/>
      <c r="O45" s="88"/>
      <c r="P45" s="88"/>
      <c r="Q45" s="83"/>
    </row>
    <row r="46" spans="6:17" ht="19.2" x14ac:dyDescent="0.35">
      <c r="F46" s="82"/>
      <c r="G46" s="88"/>
      <c r="H46" s="88"/>
      <c r="I46" s="186" t="s">
        <v>65</v>
      </c>
      <c r="J46" s="187"/>
      <c r="K46" s="187"/>
      <c r="L46" s="187" t="s">
        <v>66</v>
      </c>
      <c r="M46" s="187"/>
      <c r="N46" s="188"/>
      <c r="O46" s="88"/>
      <c r="P46" s="88"/>
      <c r="Q46" s="83"/>
    </row>
    <row r="47" spans="6:17" ht="19.8" thickBot="1" x14ac:dyDescent="0.4">
      <c r="F47" s="82"/>
      <c r="G47" s="88"/>
      <c r="H47" s="88"/>
      <c r="I47" s="190">
        <v>12220.137218203448</v>
      </c>
      <c r="J47" s="163"/>
      <c r="K47" s="191"/>
      <c r="L47" s="162">
        <v>11975.913312061595</v>
      </c>
      <c r="M47" s="163"/>
      <c r="N47" s="164"/>
      <c r="O47" s="88"/>
      <c r="P47" s="88"/>
      <c r="Q47" s="83"/>
    </row>
    <row r="48" spans="6:17" ht="18.600000000000001" x14ac:dyDescent="0.3">
      <c r="F48" s="82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3"/>
    </row>
    <row r="49" spans="6:17" ht="18.600000000000001" customHeight="1" x14ac:dyDescent="0.3">
      <c r="F49" s="82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83"/>
    </row>
    <row r="50" spans="6:17" ht="19.2" thickBot="1" x14ac:dyDescent="0.35">
      <c r="F50" s="82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83"/>
    </row>
    <row r="51" spans="6:17" ht="18.600000000000001" x14ac:dyDescent="0.3">
      <c r="F51" s="82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3"/>
    </row>
    <row r="52" spans="6:17" ht="19.2" x14ac:dyDescent="0.35">
      <c r="F52" s="82"/>
      <c r="G52" s="88"/>
      <c r="H52" s="89" t="s">
        <v>69</v>
      </c>
      <c r="I52" s="89"/>
      <c r="J52" s="89"/>
      <c r="K52" s="88"/>
      <c r="L52" s="88"/>
      <c r="M52" s="88"/>
      <c r="N52" s="88"/>
      <c r="O52" s="88"/>
      <c r="P52" s="88"/>
      <c r="Q52" s="83"/>
    </row>
    <row r="53" spans="6:17" ht="18.600000000000001" x14ac:dyDescent="0.3">
      <c r="F53" s="82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3"/>
    </row>
    <row r="54" spans="6:17" ht="18.600000000000001" x14ac:dyDescent="0.3">
      <c r="F54" s="82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3"/>
    </row>
    <row r="55" spans="6:17" ht="18.600000000000001" x14ac:dyDescent="0.3">
      <c r="F55" s="82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3"/>
    </row>
    <row r="56" spans="6:17" ht="19.2" thickBot="1" x14ac:dyDescent="0.35">
      <c r="F56" s="82"/>
      <c r="G56" s="88"/>
      <c r="H56" s="91"/>
      <c r="I56" s="91"/>
      <c r="J56" s="91"/>
      <c r="K56" s="88"/>
      <c r="L56" s="88"/>
      <c r="M56" s="91"/>
      <c r="N56" s="91"/>
      <c r="O56" s="91"/>
      <c r="P56" s="88"/>
      <c r="Q56" s="83"/>
    </row>
    <row r="57" spans="6:17" ht="19.2" x14ac:dyDescent="0.35">
      <c r="F57" s="82"/>
      <c r="G57" s="88"/>
      <c r="H57" s="89" t="s">
        <v>70</v>
      </c>
      <c r="I57" s="88"/>
      <c r="J57" s="88"/>
      <c r="K57" s="88"/>
      <c r="L57" s="88"/>
      <c r="M57" s="94" t="s">
        <v>72</v>
      </c>
      <c r="N57" s="92"/>
      <c r="O57" s="92"/>
      <c r="P57" s="88"/>
      <c r="Q57" s="83"/>
    </row>
    <row r="58" spans="6:17" ht="19.2" x14ac:dyDescent="0.35">
      <c r="F58" s="82"/>
      <c r="G58" s="88"/>
      <c r="H58" s="189" t="s">
        <v>224</v>
      </c>
      <c r="I58" s="189"/>
      <c r="J58" s="189"/>
      <c r="K58" s="88"/>
      <c r="L58" s="88"/>
      <c r="M58" s="189" t="s">
        <v>225</v>
      </c>
      <c r="N58" s="189"/>
      <c r="O58" s="189"/>
      <c r="P58" s="88"/>
      <c r="Q58" s="83"/>
    </row>
    <row r="59" spans="6:17" ht="19.2" x14ac:dyDescent="0.35">
      <c r="F59" s="82"/>
      <c r="G59" s="88"/>
      <c r="H59" s="88"/>
      <c r="I59" s="88"/>
      <c r="J59" s="89"/>
      <c r="K59" s="89"/>
      <c r="L59" s="88"/>
      <c r="M59" s="88"/>
      <c r="N59" s="88"/>
      <c r="O59" s="88"/>
      <c r="P59" s="88"/>
      <c r="Q59" s="83"/>
    </row>
    <row r="60" spans="6:17" ht="19.2" thickBot="1" x14ac:dyDescent="0.35">
      <c r="F60" s="82"/>
      <c r="G60" s="88"/>
      <c r="H60" s="91"/>
      <c r="I60" s="91"/>
      <c r="J60" s="88"/>
      <c r="K60" s="88"/>
      <c r="L60" s="88"/>
      <c r="M60" s="91"/>
      <c r="N60" s="91"/>
      <c r="O60" s="88"/>
      <c r="P60" s="88"/>
      <c r="Q60" s="83"/>
    </row>
    <row r="61" spans="6:17" ht="19.2" x14ac:dyDescent="0.35">
      <c r="F61" s="82"/>
      <c r="G61" s="88"/>
      <c r="H61" s="181" t="s">
        <v>71</v>
      </c>
      <c r="I61" s="181"/>
      <c r="J61" s="88"/>
      <c r="K61" s="88"/>
      <c r="L61" s="88"/>
      <c r="M61" s="182" t="s">
        <v>71</v>
      </c>
      <c r="N61" s="182"/>
      <c r="O61" s="88"/>
      <c r="P61" s="88"/>
      <c r="Q61" s="83"/>
    </row>
    <row r="62" spans="6:17" x14ac:dyDescent="0.3">
      <c r="F62" s="82"/>
      <c r="Q62" s="83"/>
    </row>
    <row r="63" spans="6:17" x14ac:dyDescent="0.3">
      <c r="F63" s="82"/>
      <c r="Q63" s="83"/>
    </row>
    <row r="64" spans="6:17" ht="17.399999999999999" thickBot="1" x14ac:dyDescent="0.35">
      <c r="F64" s="85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7"/>
    </row>
  </sheetData>
  <mergeCells count="32">
    <mergeCell ref="M38:P38"/>
    <mergeCell ref="G34:J34"/>
    <mergeCell ref="M34:P34"/>
    <mergeCell ref="M32:P32"/>
    <mergeCell ref="M30:P30"/>
    <mergeCell ref="M36:P36"/>
    <mergeCell ref="G49:P49"/>
    <mergeCell ref="H61:I61"/>
    <mergeCell ref="M61:N61"/>
    <mergeCell ref="I45:K45"/>
    <mergeCell ref="L45:N45"/>
    <mergeCell ref="I46:K46"/>
    <mergeCell ref="L46:N46"/>
    <mergeCell ref="M58:O58"/>
    <mergeCell ref="H58:J58"/>
    <mergeCell ref="I47:K47"/>
    <mergeCell ref="J20:K20"/>
    <mergeCell ref="L47:N47"/>
    <mergeCell ref="O20:P20"/>
    <mergeCell ref="G22:P22"/>
    <mergeCell ref="G40:P40"/>
    <mergeCell ref="M24:P24"/>
    <mergeCell ref="M26:P26"/>
    <mergeCell ref="M28:P28"/>
    <mergeCell ref="G36:J36"/>
    <mergeCell ref="G38:J38"/>
    <mergeCell ref="G24:J24"/>
    <mergeCell ref="G26:J26"/>
    <mergeCell ref="G28:J28"/>
    <mergeCell ref="K41:L41"/>
    <mergeCell ref="G30:J30"/>
    <mergeCell ref="G32:J32"/>
  </mergeCells>
  <pageMargins left="0.7" right="0.45" top="0.75" bottom="0.75" header="0.3" footer="0.3"/>
  <pageSetup paperSize="9" scale="67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18</xdr:col>
                <xdr:colOff>0</xdr:colOff>
                <xdr:row>13</xdr:row>
                <xdr:rowOff>182880</xdr:rowOff>
              </from>
              <to>
                <xdr:col>20</xdr:col>
                <xdr:colOff>320040</xdr:colOff>
                <xdr:row>18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5C8C-2198-4B35-A39C-E0CAA4FBB345}">
  <sheetPr codeName="Sheet5"/>
  <dimension ref="A1:K106"/>
  <sheetViews>
    <sheetView topLeftCell="A89" workbookViewId="0"/>
  </sheetViews>
  <sheetFormatPr defaultRowHeight="13.2" x14ac:dyDescent="0.25"/>
  <cols>
    <col min="1" max="1" width="17.33203125" style="109" bestFit="1" customWidth="1"/>
    <col min="2" max="2" width="17.6640625" style="110" bestFit="1" customWidth="1"/>
    <col min="3" max="3" width="17" style="111" bestFit="1" customWidth="1"/>
    <col min="4" max="4" width="8" style="111" bestFit="1" customWidth="1"/>
    <col min="5" max="5" width="22.6640625" style="112" bestFit="1" customWidth="1"/>
    <col min="6" max="6" width="14.33203125" style="110" bestFit="1" customWidth="1"/>
    <col min="7" max="7" width="24.77734375" style="112" bestFit="1" customWidth="1"/>
    <col min="8" max="8" width="24.44140625" style="112" bestFit="1" customWidth="1"/>
    <col min="9" max="9" width="18.5546875" style="111" bestFit="1" customWidth="1"/>
    <col min="10" max="10" width="16.5546875" style="111" bestFit="1" customWidth="1"/>
    <col min="11" max="11" width="19.109375" style="114" bestFit="1" customWidth="1"/>
  </cols>
  <sheetData>
    <row r="1" spans="1:11" s="104" customFormat="1" ht="22.2" customHeight="1" thickBot="1" x14ac:dyDescent="0.3">
      <c r="A1" s="101" t="s">
        <v>57</v>
      </c>
      <c r="B1" s="102" t="s">
        <v>58</v>
      </c>
      <c r="C1" s="102" t="s">
        <v>59</v>
      </c>
      <c r="D1" s="102" t="s">
        <v>60</v>
      </c>
      <c r="E1" s="102" t="s">
        <v>61</v>
      </c>
      <c r="F1" s="102" t="s">
        <v>75</v>
      </c>
      <c r="G1" s="102" t="s">
        <v>77</v>
      </c>
      <c r="H1" s="102" t="s">
        <v>78</v>
      </c>
      <c r="I1" s="102" t="s">
        <v>76</v>
      </c>
      <c r="J1" s="102" t="s">
        <v>72</v>
      </c>
      <c r="K1" s="103" t="s">
        <v>84</v>
      </c>
    </row>
    <row r="2" spans="1:11" x14ac:dyDescent="0.25">
      <c r="A2" s="105" t="s">
        <v>108</v>
      </c>
      <c r="B2" s="106">
        <v>36319</v>
      </c>
      <c r="C2" s="107">
        <v>24</v>
      </c>
      <c r="D2" s="107" t="s">
        <v>73</v>
      </c>
      <c r="E2" s="108">
        <v>5000000</v>
      </c>
      <c r="F2" s="106">
        <v>45078</v>
      </c>
      <c r="G2" s="108">
        <v>51407.887831920503</v>
      </c>
      <c r="H2" s="108">
        <v>51225.495895306194</v>
      </c>
      <c r="I2" s="107" t="s">
        <v>74</v>
      </c>
      <c r="J2" s="107" t="s">
        <v>109</v>
      </c>
      <c r="K2" s="119" t="s">
        <v>83</v>
      </c>
    </row>
    <row r="3" spans="1:11" x14ac:dyDescent="0.25">
      <c r="A3" s="109" t="s">
        <v>93</v>
      </c>
      <c r="B3" s="110">
        <v>29537</v>
      </c>
      <c r="C3" s="111">
        <v>43</v>
      </c>
      <c r="D3" s="111" t="s">
        <v>73</v>
      </c>
      <c r="E3" s="112">
        <v>7453216</v>
      </c>
      <c r="F3" s="110">
        <v>45078</v>
      </c>
      <c r="G3" s="112">
        <v>79378.676674897899</v>
      </c>
      <c r="H3" s="112">
        <v>78730.588579149189</v>
      </c>
      <c r="I3" s="111" t="s">
        <v>74</v>
      </c>
      <c r="J3" s="111" t="s">
        <v>111</v>
      </c>
      <c r="K3" s="114" t="s">
        <v>83</v>
      </c>
    </row>
    <row r="4" spans="1:11" x14ac:dyDescent="0.25">
      <c r="A4" s="109" t="s">
        <v>94</v>
      </c>
      <c r="B4" s="110">
        <v>29793</v>
      </c>
      <c r="C4" s="111">
        <v>42</v>
      </c>
      <c r="D4" s="111" t="s">
        <v>79</v>
      </c>
      <c r="E4" s="112">
        <v>2223658</v>
      </c>
      <c r="F4" s="110">
        <v>45078</v>
      </c>
      <c r="G4" s="112">
        <v>23592.415409381993</v>
      </c>
      <c r="H4" s="112">
        <v>23416.059831303352</v>
      </c>
      <c r="I4" s="111" t="s">
        <v>74</v>
      </c>
      <c r="J4" s="111" t="s">
        <v>113</v>
      </c>
      <c r="K4" s="114" t="s">
        <v>83</v>
      </c>
    </row>
    <row r="5" spans="1:11" x14ac:dyDescent="0.25">
      <c r="A5" s="109" t="s">
        <v>95</v>
      </c>
      <c r="B5" s="110">
        <v>30113</v>
      </c>
      <c r="C5" s="111">
        <v>41</v>
      </c>
      <c r="D5" s="111" t="s">
        <v>79</v>
      </c>
      <c r="E5" s="112">
        <v>15097399.8333333</v>
      </c>
      <c r="F5" s="110">
        <v>45078</v>
      </c>
      <c r="G5" s="112">
        <v>159616.5362313517</v>
      </c>
      <c r="H5" s="112">
        <v>158521.33100373557</v>
      </c>
      <c r="I5" s="111" t="s">
        <v>74</v>
      </c>
      <c r="J5" s="111" t="s">
        <v>113</v>
      </c>
      <c r="K5" s="114" t="s">
        <v>83</v>
      </c>
    </row>
    <row r="6" spans="1:11" x14ac:dyDescent="0.25">
      <c r="A6" s="109" t="s">
        <v>96</v>
      </c>
      <c r="B6" s="110">
        <v>30177</v>
      </c>
      <c r="C6" s="111">
        <v>41</v>
      </c>
      <c r="D6" s="111" t="s">
        <v>73</v>
      </c>
      <c r="E6" s="112">
        <v>10162088.8333333</v>
      </c>
      <c r="F6" s="110">
        <v>45078</v>
      </c>
      <c r="G6" s="112">
        <v>107438.19719675765</v>
      </c>
      <c r="H6" s="112">
        <v>106701.01245391251</v>
      </c>
      <c r="I6" s="111" t="s">
        <v>74</v>
      </c>
      <c r="J6" s="111" t="s">
        <v>114</v>
      </c>
      <c r="K6" s="114" t="s">
        <v>83</v>
      </c>
    </row>
    <row r="7" spans="1:11" x14ac:dyDescent="0.25">
      <c r="A7" s="109" t="s">
        <v>115</v>
      </c>
      <c r="B7" s="110">
        <v>28370</v>
      </c>
      <c r="C7" s="111">
        <v>46</v>
      </c>
      <c r="D7" s="111" t="s">
        <v>79</v>
      </c>
      <c r="E7" s="112">
        <v>86933828</v>
      </c>
      <c r="F7" s="110">
        <v>45078</v>
      </c>
      <c r="G7" s="112">
        <v>938289.15939832164</v>
      </c>
      <c r="H7" s="112">
        <v>928213.24046372215</v>
      </c>
      <c r="I7" s="111" t="s">
        <v>74</v>
      </c>
      <c r="J7" s="111" t="s">
        <v>117</v>
      </c>
      <c r="K7" s="114" t="s">
        <v>83</v>
      </c>
    </row>
    <row r="8" spans="1:11" x14ac:dyDescent="0.25">
      <c r="A8" s="109" t="s">
        <v>118</v>
      </c>
      <c r="B8" s="110">
        <v>30049</v>
      </c>
      <c r="C8" s="111">
        <v>42</v>
      </c>
      <c r="D8" s="111" t="s">
        <v>79</v>
      </c>
      <c r="E8" s="112">
        <v>10032710.8333333</v>
      </c>
      <c r="F8" s="110">
        <v>45078</v>
      </c>
      <c r="G8" s="112">
        <v>106444.37303857256</v>
      </c>
      <c r="H8" s="112">
        <v>105648.6910952574</v>
      </c>
      <c r="I8" s="111" t="s">
        <v>74</v>
      </c>
      <c r="J8" s="111" t="s">
        <v>119</v>
      </c>
      <c r="K8" s="114" t="s">
        <v>83</v>
      </c>
    </row>
    <row r="9" spans="1:11" x14ac:dyDescent="0.25">
      <c r="A9" s="109" t="s">
        <v>120</v>
      </c>
      <c r="B9" s="110">
        <v>31534</v>
      </c>
      <c r="C9" s="111">
        <v>38</v>
      </c>
      <c r="D9" s="111" t="s">
        <v>79</v>
      </c>
      <c r="E9" s="112">
        <v>4272939</v>
      </c>
      <c r="F9" s="110">
        <v>45078</v>
      </c>
      <c r="G9" s="112">
        <v>44773.347690575254</v>
      </c>
      <c r="H9" s="112">
        <v>44530.507925838254</v>
      </c>
      <c r="I9" s="111" t="s">
        <v>74</v>
      </c>
      <c r="J9" s="111" t="s">
        <v>114</v>
      </c>
      <c r="K9" s="114" t="s">
        <v>83</v>
      </c>
    </row>
    <row r="10" spans="1:11" x14ac:dyDescent="0.25">
      <c r="A10" s="109" t="s">
        <v>121</v>
      </c>
      <c r="B10" s="110">
        <v>30349</v>
      </c>
      <c r="C10" s="111">
        <v>41</v>
      </c>
      <c r="D10" s="111" t="s">
        <v>79</v>
      </c>
      <c r="E10" s="112">
        <v>22960612</v>
      </c>
      <c r="F10" s="110">
        <v>45078</v>
      </c>
      <c r="G10" s="112">
        <v>242749.97003791019</v>
      </c>
      <c r="H10" s="112">
        <v>241084.34664783839</v>
      </c>
      <c r="I10" s="111" t="s">
        <v>74</v>
      </c>
      <c r="J10" s="111" t="s">
        <v>111</v>
      </c>
      <c r="K10" s="114" t="s">
        <v>83</v>
      </c>
    </row>
    <row r="11" spans="1:11" x14ac:dyDescent="0.25">
      <c r="A11" s="109" t="s">
        <v>122</v>
      </c>
      <c r="B11" s="110">
        <v>23225</v>
      </c>
      <c r="C11" s="111">
        <v>60</v>
      </c>
      <c r="D11" s="111" t="s">
        <v>73</v>
      </c>
      <c r="E11" s="112">
        <v>4715759</v>
      </c>
      <c r="F11" s="110">
        <v>45078</v>
      </c>
      <c r="G11" s="112">
        <v>56959.667644511675</v>
      </c>
      <c r="H11" s="112">
        <v>54679.641265579703</v>
      </c>
      <c r="I11" s="111" t="s">
        <v>74</v>
      </c>
      <c r="J11" s="111" t="s">
        <v>119</v>
      </c>
      <c r="K11" s="114" t="s">
        <v>83</v>
      </c>
    </row>
    <row r="12" spans="1:11" x14ac:dyDescent="0.25">
      <c r="A12" s="109" t="s">
        <v>123</v>
      </c>
      <c r="B12" s="110">
        <v>32722</v>
      </c>
      <c r="C12" s="111">
        <v>34</v>
      </c>
      <c r="D12" s="111" t="s">
        <v>79</v>
      </c>
      <c r="E12" s="112">
        <v>20798946</v>
      </c>
      <c r="F12" s="110">
        <v>45078</v>
      </c>
      <c r="G12" s="112">
        <v>216038.95441069626</v>
      </c>
      <c r="H12" s="112">
        <v>215129.36582417876</v>
      </c>
      <c r="I12" s="111" t="s">
        <v>74</v>
      </c>
      <c r="J12" s="111" t="s">
        <v>119</v>
      </c>
      <c r="K12" s="114" t="s">
        <v>83</v>
      </c>
    </row>
    <row r="13" spans="1:11" x14ac:dyDescent="0.25">
      <c r="A13" s="109" t="s">
        <v>124</v>
      </c>
      <c r="B13" s="110">
        <v>27581</v>
      </c>
      <c r="C13" s="111">
        <v>48</v>
      </c>
      <c r="D13" s="111" t="s">
        <v>73</v>
      </c>
      <c r="E13" s="112">
        <v>93120707</v>
      </c>
      <c r="F13" s="110">
        <v>45078</v>
      </c>
      <c r="G13" s="112">
        <v>1015794.7411970873</v>
      </c>
      <c r="H13" s="112">
        <v>1002649.1131894217</v>
      </c>
      <c r="I13" s="111" t="s">
        <v>74</v>
      </c>
      <c r="J13" s="111" t="s">
        <v>114</v>
      </c>
      <c r="K13" s="114" t="s">
        <v>83</v>
      </c>
    </row>
    <row r="14" spans="1:11" x14ac:dyDescent="0.25">
      <c r="A14" s="109" t="s">
        <v>125</v>
      </c>
      <c r="B14" s="110">
        <v>30241</v>
      </c>
      <c r="C14" s="111">
        <v>41</v>
      </c>
      <c r="D14" s="111" t="s">
        <v>73</v>
      </c>
      <c r="E14" s="112">
        <v>5226777.8333333004</v>
      </c>
      <c r="F14" s="110">
        <v>45078</v>
      </c>
      <c r="G14" s="112">
        <v>55259.858162163611</v>
      </c>
      <c r="H14" s="112">
        <v>54880.69390408945</v>
      </c>
      <c r="I14" s="111" t="s">
        <v>74</v>
      </c>
      <c r="J14" s="111" t="s">
        <v>117</v>
      </c>
      <c r="K14" s="114" t="s">
        <v>83</v>
      </c>
    </row>
    <row r="15" spans="1:11" x14ac:dyDescent="0.25">
      <c r="A15" s="109" t="s">
        <v>126</v>
      </c>
      <c r="B15" s="110">
        <v>32326</v>
      </c>
      <c r="C15" s="111">
        <v>35</v>
      </c>
      <c r="D15" s="111" t="s">
        <v>79</v>
      </c>
      <c r="E15" s="112">
        <v>17883688</v>
      </c>
      <c r="F15" s="110">
        <v>45078</v>
      </c>
      <c r="G15" s="112">
        <v>186109.89193916845</v>
      </c>
      <c r="H15" s="112">
        <v>185281.05290189033</v>
      </c>
      <c r="I15" s="111" t="s">
        <v>74</v>
      </c>
      <c r="J15" s="111" t="s">
        <v>117</v>
      </c>
      <c r="K15" s="114" t="s">
        <v>83</v>
      </c>
    </row>
    <row r="16" spans="1:11" x14ac:dyDescent="0.25">
      <c r="A16" s="109" t="s">
        <v>127</v>
      </c>
      <c r="B16" s="110">
        <v>33122</v>
      </c>
      <c r="C16" s="111">
        <v>33</v>
      </c>
      <c r="D16" s="111" t="s">
        <v>79</v>
      </c>
      <c r="E16" s="112">
        <v>57168817</v>
      </c>
      <c r="F16" s="110">
        <v>45078</v>
      </c>
      <c r="G16" s="112">
        <v>592799.14721155365</v>
      </c>
      <c r="H16" s="112">
        <v>590425.92594108812</v>
      </c>
      <c r="I16" s="111" t="s">
        <v>74</v>
      </c>
      <c r="J16" s="111" t="s">
        <v>111</v>
      </c>
      <c r="K16" s="114" t="s">
        <v>83</v>
      </c>
    </row>
    <row r="17" spans="1:11" x14ac:dyDescent="0.25">
      <c r="A17" s="109" t="s">
        <v>128</v>
      </c>
      <c r="B17" s="110">
        <v>23622</v>
      </c>
      <c r="C17" s="111">
        <v>59</v>
      </c>
      <c r="D17" s="111" t="s">
        <v>73</v>
      </c>
      <c r="E17" s="112">
        <v>5237064</v>
      </c>
      <c r="F17" s="110">
        <v>45078</v>
      </c>
      <c r="G17" s="112">
        <v>62534.027525706457</v>
      </c>
      <c r="H17" s="112">
        <v>60256.569254796974</v>
      </c>
      <c r="I17" s="111" t="s">
        <v>74</v>
      </c>
      <c r="J17" s="111" t="s">
        <v>113</v>
      </c>
      <c r="K17" s="114" t="s">
        <v>83</v>
      </c>
    </row>
    <row r="18" spans="1:11" x14ac:dyDescent="0.25">
      <c r="A18" s="109" t="s">
        <v>129</v>
      </c>
      <c r="B18" s="110">
        <v>29957</v>
      </c>
      <c r="C18" s="111">
        <v>42</v>
      </c>
      <c r="D18" s="111" t="s">
        <v>73</v>
      </c>
      <c r="E18" s="112">
        <v>17686079</v>
      </c>
      <c r="F18" s="110">
        <v>45078</v>
      </c>
      <c r="G18" s="112">
        <v>187644.55808004076</v>
      </c>
      <c r="H18" s="112">
        <v>186241.89693071405</v>
      </c>
      <c r="I18" s="111" t="s">
        <v>74</v>
      </c>
      <c r="J18" s="111" t="s">
        <v>113</v>
      </c>
      <c r="K18" s="114" t="s">
        <v>83</v>
      </c>
    </row>
    <row r="19" spans="1:11" x14ac:dyDescent="0.25">
      <c r="A19" s="109" t="s">
        <v>130</v>
      </c>
      <c r="B19" s="110">
        <v>33914</v>
      </c>
      <c r="C19" s="111">
        <v>31</v>
      </c>
      <c r="D19" s="111" t="s">
        <v>73</v>
      </c>
      <c r="E19" s="112">
        <v>8931358</v>
      </c>
      <c r="F19" s="110">
        <v>45078</v>
      </c>
      <c r="G19" s="112">
        <v>92341.6664172085</v>
      </c>
      <c r="H19" s="112">
        <v>92001.3466105025</v>
      </c>
      <c r="I19" s="111" t="s">
        <v>74</v>
      </c>
      <c r="J19" s="111" t="s">
        <v>114</v>
      </c>
      <c r="K19" s="114" t="s">
        <v>83</v>
      </c>
    </row>
    <row r="20" spans="1:11" x14ac:dyDescent="0.25">
      <c r="A20" s="109" t="s">
        <v>131</v>
      </c>
      <c r="B20" s="110">
        <v>31930</v>
      </c>
      <c r="C20" s="111">
        <v>36</v>
      </c>
      <c r="D20" s="111" t="s">
        <v>79</v>
      </c>
      <c r="E20" s="112">
        <v>69849461</v>
      </c>
      <c r="F20" s="110">
        <v>45078</v>
      </c>
      <c r="G20" s="112">
        <v>728413.16667839081</v>
      </c>
      <c r="H20" s="112">
        <v>724966.2016621955</v>
      </c>
      <c r="I20" s="111" t="s">
        <v>74</v>
      </c>
      <c r="J20" s="111" t="s">
        <v>117</v>
      </c>
      <c r="K20" s="114" t="s">
        <v>83</v>
      </c>
    </row>
    <row r="21" spans="1:11" x14ac:dyDescent="0.25">
      <c r="A21" s="109" t="s">
        <v>132</v>
      </c>
      <c r="B21" s="110">
        <v>26790</v>
      </c>
      <c r="C21" s="111">
        <v>51</v>
      </c>
      <c r="D21" s="111" t="s">
        <v>79</v>
      </c>
      <c r="E21" s="112">
        <v>73957858</v>
      </c>
      <c r="F21" s="110">
        <v>45078</v>
      </c>
      <c r="G21" s="112">
        <v>822117.69591607235</v>
      </c>
      <c r="H21" s="112">
        <v>808034.88229456113</v>
      </c>
      <c r="I21" s="111" t="s">
        <v>74</v>
      </c>
      <c r="J21" s="111" t="s">
        <v>119</v>
      </c>
      <c r="K21" s="114" t="s">
        <v>83</v>
      </c>
    </row>
    <row r="22" spans="1:11" x14ac:dyDescent="0.25">
      <c r="A22" s="109" t="s">
        <v>133</v>
      </c>
      <c r="B22" s="110">
        <v>30273</v>
      </c>
      <c r="C22" s="111">
        <v>41</v>
      </c>
      <c r="D22" s="111" t="s">
        <v>73</v>
      </c>
      <c r="E22" s="112">
        <v>17759122.333333299</v>
      </c>
      <c r="F22" s="110">
        <v>45078</v>
      </c>
      <c r="G22" s="112">
        <v>187757.46980595464</v>
      </c>
      <c r="H22" s="112">
        <v>186469.17620360875</v>
      </c>
      <c r="I22" s="111" t="s">
        <v>74</v>
      </c>
      <c r="J22" s="111" t="s">
        <v>114</v>
      </c>
      <c r="K22" s="114" t="s">
        <v>83</v>
      </c>
    </row>
    <row r="23" spans="1:11" x14ac:dyDescent="0.25">
      <c r="A23" s="109" t="s">
        <v>134</v>
      </c>
      <c r="B23" s="110">
        <v>29953</v>
      </c>
      <c r="C23" s="111">
        <v>42</v>
      </c>
      <c r="D23" s="111" t="s">
        <v>79</v>
      </c>
      <c r="E23" s="112">
        <v>12435677.3333333</v>
      </c>
      <c r="F23" s="110">
        <v>45078</v>
      </c>
      <c r="G23" s="112">
        <v>131939.20357583536</v>
      </c>
      <c r="H23" s="112">
        <v>130952.94531808195</v>
      </c>
      <c r="I23" s="111" t="s">
        <v>74</v>
      </c>
      <c r="J23" s="111" t="s">
        <v>111</v>
      </c>
      <c r="K23" s="114" t="s">
        <v>83</v>
      </c>
    </row>
    <row r="24" spans="1:11" x14ac:dyDescent="0.25">
      <c r="A24" s="109" t="s">
        <v>135</v>
      </c>
      <c r="B24" s="110">
        <v>25209</v>
      </c>
      <c r="C24" s="111">
        <v>55</v>
      </c>
      <c r="D24" s="111" t="s">
        <v>73</v>
      </c>
      <c r="E24" s="112">
        <v>74498526</v>
      </c>
      <c r="F24" s="110">
        <v>45078</v>
      </c>
      <c r="G24" s="112">
        <v>854624.59274930006</v>
      </c>
      <c r="H24" s="112">
        <v>833316.13254881965</v>
      </c>
      <c r="I24" s="111" t="s">
        <v>74</v>
      </c>
      <c r="J24" s="111" t="s">
        <v>119</v>
      </c>
      <c r="K24" s="114" t="s">
        <v>83</v>
      </c>
    </row>
    <row r="25" spans="1:11" x14ac:dyDescent="0.25">
      <c r="A25" s="109" t="s">
        <v>136</v>
      </c>
      <c r="B25" s="110">
        <v>33513</v>
      </c>
      <c r="C25" s="111">
        <v>32</v>
      </c>
      <c r="D25" s="111" t="s">
        <v>79</v>
      </c>
      <c r="E25" s="112">
        <v>48440628</v>
      </c>
      <c r="F25" s="110">
        <v>45078</v>
      </c>
      <c r="G25" s="112">
        <v>501521.58314689336</v>
      </c>
      <c r="H25" s="112">
        <v>499601.01669814152</v>
      </c>
      <c r="I25" s="111" t="s">
        <v>74</v>
      </c>
      <c r="J25" s="111" t="s">
        <v>119</v>
      </c>
      <c r="K25" s="114" t="s">
        <v>83</v>
      </c>
    </row>
    <row r="26" spans="1:11" x14ac:dyDescent="0.25">
      <c r="A26" s="109" t="s">
        <v>137</v>
      </c>
      <c r="B26" s="110">
        <v>27974</v>
      </c>
      <c r="C26" s="111">
        <v>47</v>
      </c>
      <c r="D26" s="111" t="s">
        <v>73</v>
      </c>
      <c r="E26" s="112">
        <v>70689269</v>
      </c>
      <c r="F26" s="110">
        <v>45078</v>
      </c>
      <c r="G26" s="112">
        <v>766879.8157346379</v>
      </c>
      <c r="H26" s="112">
        <v>757840.87651285308</v>
      </c>
      <c r="I26" s="111" t="s">
        <v>74</v>
      </c>
      <c r="J26" s="111" t="s">
        <v>114</v>
      </c>
      <c r="K26" s="114" t="s">
        <v>83</v>
      </c>
    </row>
    <row r="27" spans="1:11" x14ac:dyDescent="0.25">
      <c r="A27" s="109" t="s">
        <v>214</v>
      </c>
      <c r="B27" s="110">
        <v>34701</v>
      </c>
      <c r="C27" s="111">
        <v>29</v>
      </c>
      <c r="D27" s="111" t="s">
        <v>79</v>
      </c>
      <c r="E27" s="112">
        <v>91328653</v>
      </c>
      <c r="F27" s="110">
        <v>45078</v>
      </c>
      <c r="G27" s="112">
        <v>942075.22444376315</v>
      </c>
      <c r="H27" s="112">
        <v>938789.52111832344</v>
      </c>
      <c r="I27" s="111" t="s">
        <v>74</v>
      </c>
      <c r="J27" s="111" t="s">
        <v>117</v>
      </c>
      <c r="K27" s="114" t="s">
        <v>83</v>
      </c>
    </row>
    <row r="28" spans="1:11" x14ac:dyDescent="0.25">
      <c r="A28" s="109" t="s">
        <v>139</v>
      </c>
      <c r="B28" s="110">
        <v>29313</v>
      </c>
      <c r="C28" s="111">
        <v>44</v>
      </c>
      <c r="D28" s="111" t="s">
        <v>79</v>
      </c>
      <c r="E28" s="112">
        <v>48236101</v>
      </c>
      <c r="F28" s="110">
        <v>45078</v>
      </c>
      <c r="G28" s="112">
        <v>515845.02128647192</v>
      </c>
      <c r="H28" s="112">
        <v>511237.02899760526</v>
      </c>
      <c r="I28" s="111" t="s">
        <v>74</v>
      </c>
      <c r="J28" s="111" t="s">
        <v>117</v>
      </c>
      <c r="K28" s="114" t="s">
        <v>83</v>
      </c>
    </row>
    <row r="29" spans="1:11" x14ac:dyDescent="0.25">
      <c r="A29" s="109" t="s">
        <v>140</v>
      </c>
      <c r="B29" s="110">
        <v>29825</v>
      </c>
      <c r="C29" s="111">
        <v>42</v>
      </c>
      <c r="D29" s="111" t="s">
        <v>79</v>
      </c>
      <c r="E29" s="112">
        <v>2165487</v>
      </c>
      <c r="F29" s="110">
        <v>45078</v>
      </c>
      <c r="G29" s="112">
        <v>22975.236690001959</v>
      </c>
      <c r="H29" s="112">
        <v>22803.49458230969</v>
      </c>
      <c r="I29" s="111" t="s">
        <v>74</v>
      </c>
      <c r="J29" s="111" t="s">
        <v>111</v>
      </c>
      <c r="K29" s="114" t="s">
        <v>83</v>
      </c>
    </row>
    <row r="30" spans="1:11" x14ac:dyDescent="0.25">
      <c r="A30" s="109" t="s">
        <v>141</v>
      </c>
      <c r="B30" s="110">
        <v>29601</v>
      </c>
      <c r="C30" s="111">
        <v>43</v>
      </c>
      <c r="D30" s="111" t="s">
        <v>73</v>
      </c>
      <c r="E30" s="112">
        <v>6213548</v>
      </c>
      <c r="F30" s="110">
        <v>45078</v>
      </c>
      <c r="G30" s="112">
        <v>66175.892084163192</v>
      </c>
      <c r="H30" s="112">
        <v>65635.598271242285</v>
      </c>
      <c r="I30" s="111" t="s">
        <v>74</v>
      </c>
      <c r="J30" s="111" t="s">
        <v>113</v>
      </c>
      <c r="K30" s="114" t="s">
        <v>83</v>
      </c>
    </row>
    <row r="31" spans="1:11" x14ac:dyDescent="0.25">
      <c r="A31" s="109" t="s">
        <v>142</v>
      </c>
      <c r="B31" s="110">
        <v>29985</v>
      </c>
      <c r="C31" s="111">
        <v>42</v>
      </c>
      <c r="D31" s="111" t="s">
        <v>79</v>
      </c>
      <c r="E31" s="112">
        <v>14968021.8333333</v>
      </c>
      <c r="F31" s="110">
        <v>45078</v>
      </c>
      <c r="G31" s="112">
        <v>158806.70001803274</v>
      </c>
      <c r="H31" s="112">
        <v>157619.60463595905</v>
      </c>
      <c r="I31" s="111" t="s">
        <v>74</v>
      </c>
      <c r="J31" s="111" t="s">
        <v>113</v>
      </c>
      <c r="K31" s="114" t="s">
        <v>83</v>
      </c>
    </row>
    <row r="32" spans="1:11" x14ac:dyDescent="0.25">
      <c r="A32" s="109" t="s">
        <v>143</v>
      </c>
      <c r="B32" s="110">
        <v>29921</v>
      </c>
      <c r="C32" s="111">
        <v>42</v>
      </c>
      <c r="D32" s="111" t="s">
        <v>73</v>
      </c>
      <c r="E32" s="112">
        <v>8763210</v>
      </c>
      <c r="F32" s="110">
        <v>45078</v>
      </c>
      <c r="G32" s="112">
        <v>92975.309440413213</v>
      </c>
      <c r="H32" s="112">
        <v>92280.310045103994</v>
      </c>
      <c r="I32" s="111" t="s">
        <v>74</v>
      </c>
      <c r="J32" s="111" t="s">
        <v>114</v>
      </c>
      <c r="K32" s="114" t="s">
        <v>83</v>
      </c>
    </row>
    <row r="33" spans="1:11" x14ac:dyDescent="0.25">
      <c r="A33" s="109" t="s">
        <v>144</v>
      </c>
      <c r="B33" s="110">
        <v>36282</v>
      </c>
      <c r="C33" s="111">
        <v>25</v>
      </c>
      <c r="D33" s="111" t="s">
        <v>79</v>
      </c>
      <c r="E33" s="112">
        <v>71781374</v>
      </c>
      <c r="F33" s="110">
        <v>45078</v>
      </c>
      <c r="G33" s="112">
        <v>738304.20075319102</v>
      </c>
      <c r="H33" s="112">
        <v>735742.29651220667</v>
      </c>
      <c r="I33" s="111" t="s">
        <v>74</v>
      </c>
      <c r="J33" s="111" t="s">
        <v>117</v>
      </c>
      <c r="K33" s="114" t="s">
        <v>83</v>
      </c>
    </row>
    <row r="34" spans="1:11" x14ac:dyDescent="0.25">
      <c r="A34" s="109" t="s">
        <v>145</v>
      </c>
      <c r="B34" s="110">
        <v>29953</v>
      </c>
      <c r="C34" s="111">
        <v>42</v>
      </c>
      <c r="D34" s="111" t="s">
        <v>73</v>
      </c>
      <c r="E34" s="112">
        <v>56097639</v>
      </c>
      <c r="F34" s="110">
        <v>45078</v>
      </c>
      <c r="G34" s="112">
        <v>595180.9148590063</v>
      </c>
      <c r="H34" s="112">
        <v>590731.88018070057</v>
      </c>
      <c r="I34" s="111" t="s">
        <v>74</v>
      </c>
      <c r="J34" s="111" t="s">
        <v>119</v>
      </c>
      <c r="K34" s="114" t="s">
        <v>83</v>
      </c>
    </row>
    <row r="35" spans="1:11" x14ac:dyDescent="0.25">
      <c r="A35" s="109" t="s">
        <v>146</v>
      </c>
      <c r="B35" s="110">
        <v>25994</v>
      </c>
      <c r="C35" s="111">
        <v>53</v>
      </c>
      <c r="D35" s="111" t="s">
        <v>79</v>
      </c>
      <c r="E35" s="112">
        <v>42561176</v>
      </c>
      <c r="F35" s="110">
        <v>45078</v>
      </c>
      <c r="G35" s="112">
        <v>480148.16305803967</v>
      </c>
      <c r="H35" s="112">
        <v>470229.56662664976</v>
      </c>
      <c r="I35" s="111" t="s">
        <v>74</v>
      </c>
      <c r="J35" s="111" t="s">
        <v>114</v>
      </c>
      <c r="K35" s="114" t="s">
        <v>83</v>
      </c>
    </row>
    <row r="36" spans="1:11" x14ac:dyDescent="0.25">
      <c r="A36" s="109" t="s">
        <v>147</v>
      </c>
      <c r="B36" s="110">
        <v>34305</v>
      </c>
      <c r="C36" s="111">
        <v>30</v>
      </c>
      <c r="D36" s="111" t="s">
        <v>79</v>
      </c>
      <c r="E36" s="112">
        <v>96689363</v>
      </c>
      <c r="F36" s="110">
        <v>45078</v>
      </c>
      <c r="G36" s="112">
        <v>998448.663773012</v>
      </c>
      <c r="H36" s="112">
        <v>994882.98345579917</v>
      </c>
      <c r="I36" s="111" t="s">
        <v>74</v>
      </c>
      <c r="J36" s="111" t="s">
        <v>111</v>
      </c>
      <c r="K36" s="114" t="s">
        <v>83</v>
      </c>
    </row>
    <row r="37" spans="1:11" x14ac:dyDescent="0.25">
      <c r="A37" s="109" t="s">
        <v>148</v>
      </c>
      <c r="B37" s="110">
        <v>27186</v>
      </c>
      <c r="C37" s="111">
        <v>49</v>
      </c>
      <c r="D37" s="111" t="s">
        <v>73</v>
      </c>
      <c r="E37" s="112">
        <v>50922293</v>
      </c>
      <c r="F37" s="110">
        <v>45078</v>
      </c>
      <c r="G37" s="112">
        <v>558752.79684345657</v>
      </c>
      <c r="H37" s="112">
        <v>550813.35953319783</v>
      </c>
      <c r="I37" s="111" t="s">
        <v>74</v>
      </c>
      <c r="J37" s="111" t="s">
        <v>119</v>
      </c>
      <c r="K37" s="114" t="s">
        <v>83</v>
      </c>
    </row>
    <row r="38" spans="1:11" x14ac:dyDescent="0.25">
      <c r="A38" s="109" t="s">
        <v>149</v>
      </c>
      <c r="B38" s="110">
        <v>29165</v>
      </c>
      <c r="C38" s="111">
        <v>44</v>
      </c>
      <c r="D38" s="111" t="s">
        <v>79</v>
      </c>
      <c r="E38" s="112">
        <v>59150323</v>
      </c>
      <c r="F38" s="110">
        <v>45078</v>
      </c>
      <c r="G38" s="112">
        <v>632563.55705525808</v>
      </c>
      <c r="H38" s="112">
        <v>626912.92969074589</v>
      </c>
      <c r="I38" s="111" t="s">
        <v>74</v>
      </c>
      <c r="J38" s="111" t="s">
        <v>119</v>
      </c>
      <c r="K38" s="114" t="s">
        <v>83</v>
      </c>
    </row>
    <row r="39" spans="1:11" x14ac:dyDescent="0.25">
      <c r="A39" s="109" t="s">
        <v>150</v>
      </c>
      <c r="B39" s="110">
        <v>24812</v>
      </c>
      <c r="C39" s="111">
        <v>56</v>
      </c>
      <c r="D39" s="111" t="s">
        <v>73</v>
      </c>
      <c r="E39" s="112">
        <v>73102306</v>
      </c>
      <c r="F39" s="110">
        <v>45078</v>
      </c>
      <c r="G39" s="112">
        <v>846327.03731761745</v>
      </c>
      <c r="H39" s="112">
        <v>823133.31063797243</v>
      </c>
      <c r="I39" s="111" t="s">
        <v>74</v>
      </c>
      <c r="J39" s="111" t="s">
        <v>114</v>
      </c>
      <c r="K39" s="114" t="s">
        <v>83</v>
      </c>
    </row>
    <row r="40" spans="1:11" x14ac:dyDescent="0.25">
      <c r="A40" s="109" t="s">
        <v>151</v>
      </c>
      <c r="B40" s="110">
        <v>35491</v>
      </c>
      <c r="C40" s="111">
        <v>27</v>
      </c>
      <c r="D40" s="111" t="s">
        <v>79</v>
      </c>
      <c r="E40" s="112">
        <v>44618711</v>
      </c>
      <c r="F40" s="110">
        <v>45078</v>
      </c>
      <c r="G40" s="112">
        <v>459459.04348443524</v>
      </c>
      <c r="H40" s="112">
        <v>457890.09051989444</v>
      </c>
      <c r="I40" s="111" t="s">
        <v>74</v>
      </c>
      <c r="J40" s="111" t="s">
        <v>117</v>
      </c>
      <c r="K40" s="114" t="s">
        <v>83</v>
      </c>
    </row>
    <row r="41" spans="1:11" x14ac:dyDescent="0.25">
      <c r="A41" s="109" t="s">
        <v>152</v>
      </c>
      <c r="B41" s="110">
        <v>33118</v>
      </c>
      <c r="C41" s="111">
        <v>33</v>
      </c>
      <c r="D41" s="111" t="s">
        <v>79</v>
      </c>
      <c r="E41" s="112">
        <v>64429411</v>
      </c>
      <c r="F41" s="110">
        <v>45078</v>
      </c>
      <c r="G41" s="112">
        <v>668086.2382746645</v>
      </c>
      <c r="H41" s="112">
        <v>665411.61149991828</v>
      </c>
      <c r="I41" s="111" t="s">
        <v>74</v>
      </c>
      <c r="J41" s="111" t="s">
        <v>117</v>
      </c>
      <c r="K41" s="114" t="s">
        <v>83</v>
      </c>
    </row>
    <row r="42" spans="1:11" x14ac:dyDescent="0.25">
      <c r="A42" s="109" t="s">
        <v>153</v>
      </c>
      <c r="B42" s="110">
        <v>33910</v>
      </c>
      <c r="C42" s="111">
        <v>31</v>
      </c>
      <c r="D42" s="111" t="s">
        <v>79</v>
      </c>
      <c r="E42" s="112">
        <v>21963277</v>
      </c>
      <c r="F42" s="110">
        <v>45078</v>
      </c>
      <c r="G42" s="112">
        <v>227079.19648532147</v>
      </c>
      <c r="H42" s="112">
        <v>226242.30939790761</v>
      </c>
      <c r="I42" s="111" t="s">
        <v>74</v>
      </c>
      <c r="J42" s="111" t="s">
        <v>111</v>
      </c>
      <c r="K42" s="114" t="s">
        <v>83</v>
      </c>
    </row>
    <row r="43" spans="1:11" x14ac:dyDescent="0.25">
      <c r="A43" s="109" t="s">
        <v>154</v>
      </c>
      <c r="B43" s="110">
        <v>29665</v>
      </c>
      <c r="C43" s="111">
        <v>43</v>
      </c>
      <c r="D43" s="111" t="s">
        <v>73</v>
      </c>
      <c r="E43" s="112">
        <v>3025418</v>
      </c>
      <c r="F43" s="110">
        <v>45078</v>
      </c>
      <c r="G43" s="112">
        <v>32221.483615719208</v>
      </c>
      <c r="H43" s="112">
        <v>31958.410951454029</v>
      </c>
      <c r="I43" s="111" t="s">
        <v>74</v>
      </c>
      <c r="J43" s="111" t="s">
        <v>113</v>
      </c>
      <c r="K43" s="114" t="s">
        <v>83</v>
      </c>
    </row>
    <row r="44" spans="1:11" x14ac:dyDescent="0.25">
      <c r="A44" s="109" t="s">
        <v>155</v>
      </c>
      <c r="B44" s="110">
        <v>29889</v>
      </c>
      <c r="C44" s="111">
        <v>42</v>
      </c>
      <c r="D44" s="111" t="s">
        <v>73</v>
      </c>
      <c r="E44" s="112">
        <v>9651234</v>
      </c>
      <c r="F44" s="110">
        <v>45078</v>
      </c>
      <c r="G44" s="112">
        <v>102397.00607789122</v>
      </c>
      <c r="H44" s="112">
        <v>101631.5785925305</v>
      </c>
      <c r="I44" s="111" t="s">
        <v>74</v>
      </c>
      <c r="J44" s="111" t="s">
        <v>113</v>
      </c>
      <c r="K44" s="114" t="s">
        <v>83</v>
      </c>
    </row>
    <row r="45" spans="1:11" x14ac:dyDescent="0.25">
      <c r="A45" s="109" t="s">
        <v>156</v>
      </c>
      <c r="B45" s="110">
        <v>26395</v>
      </c>
      <c r="C45" s="111">
        <v>52</v>
      </c>
      <c r="D45" s="111" t="s">
        <v>73</v>
      </c>
      <c r="E45" s="112">
        <v>76272764</v>
      </c>
      <c r="F45" s="110">
        <v>45078</v>
      </c>
      <c r="G45" s="112">
        <v>853932.50851673202</v>
      </c>
      <c r="H45" s="112">
        <v>837870.19335978024</v>
      </c>
      <c r="I45" s="111" t="s">
        <v>74</v>
      </c>
      <c r="J45" s="111" t="s">
        <v>114</v>
      </c>
      <c r="K45" s="114" t="s">
        <v>83</v>
      </c>
    </row>
    <row r="46" spans="1:11" x14ac:dyDescent="0.25">
      <c r="A46" s="109" t="s">
        <v>157</v>
      </c>
      <c r="B46" s="110">
        <v>36679</v>
      </c>
      <c r="C46" s="111">
        <v>23</v>
      </c>
      <c r="D46" s="111" t="s">
        <v>73</v>
      </c>
      <c r="E46" s="112">
        <v>87604951</v>
      </c>
      <c r="F46" s="110">
        <v>45078</v>
      </c>
      <c r="G46" s="112">
        <v>900496.45316220121</v>
      </c>
      <c r="H46" s="112">
        <v>897201.8036982565</v>
      </c>
      <c r="I46" s="111" t="s">
        <v>74</v>
      </c>
      <c r="J46" s="111" t="s">
        <v>117</v>
      </c>
      <c r="K46" s="114" t="s">
        <v>83</v>
      </c>
    </row>
    <row r="47" spans="1:11" x14ac:dyDescent="0.25">
      <c r="A47" s="109" t="s">
        <v>158</v>
      </c>
      <c r="B47" s="110">
        <v>31139</v>
      </c>
      <c r="C47" s="111">
        <v>39</v>
      </c>
      <c r="D47" s="111" t="s">
        <v>73</v>
      </c>
      <c r="E47" s="112">
        <v>56135847</v>
      </c>
      <c r="F47" s="110">
        <v>45078</v>
      </c>
      <c r="G47" s="112">
        <v>589820.21860359609</v>
      </c>
      <c r="H47" s="112">
        <v>586372.75003119709</v>
      </c>
      <c r="I47" s="111" t="s">
        <v>74</v>
      </c>
      <c r="J47" s="111" t="s">
        <v>119</v>
      </c>
      <c r="K47" s="114" t="s">
        <v>83</v>
      </c>
    </row>
    <row r="48" spans="1:11" x14ac:dyDescent="0.25">
      <c r="A48" s="109" t="s">
        <v>159</v>
      </c>
      <c r="B48" s="110">
        <v>24417</v>
      </c>
      <c r="C48" s="111">
        <v>57</v>
      </c>
      <c r="D48" s="111" t="s">
        <v>79</v>
      </c>
      <c r="E48" s="112">
        <v>49570444</v>
      </c>
      <c r="F48" s="110">
        <v>45078</v>
      </c>
      <c r="G48" s="112">
        <v>579498.06360825791</v>
      </c>
      <c r="H48" s="112">
        <v>562038.38489213318</v>
      </c>
      <c r="I48" s="111" t="s">
        <v>74</v>
      </c>
      <c r="J48" s="111" t="s">
        <v>114</v>
      </c>
      <c r="K48" s="114" t="s">
        <v>83</v>
      </c>
    </row>
    <row r="49" spans="1:11" x14ac:dyDescent="0.25">
      <c r="A49" s="109" t="s">
        <v>160</v>
      </c>
      <c r="B49" s="110">
        <v>29729</v>
      </c>
      <c r="C49" s="111">
        <v>43</v>
      </c>
      <c r="D49" s="111" t="s">
        <v>79</v>
      </c>
      <c r="E49" s="112">
        <v>9664423</v>
      </c>
      <c r="F49" s="110">
        <v>45078</v>
      </c>
      <c r="G49" s="112">
        <v>102928.60270874301</v>
      </c>
      <c r="H49" s="112">
        <v>102088.24097783653</v>
      </c>
      <c r="I49" s="111" t="s">
        <v>74</v>
      </c>
      <c r="J49" s="111" t="s">
        <v>111</v>
      </c>
      <c r="K49" s="114" t="s">
        <v>83</v>
      </c>
    </row>
    <row r="50" spans="1:11" x14ac:dyDescent="0.25">
      <c r="A50" s="109" t="s">
        <v>161</v>
      </c>
      <c r="B50" s="110">
        <v>24021</v>
      </c>
      <c r="C50" s="111">
        <v>58</v>
      </c>
      <c r="D50" s="111" t="s">
        <v>79</v>
      </c>
      <c r="E50" s="112">
        <v>11461754</v>
      </c>
      <c r="F50" s="110">
        <v>45078</v>
      </c>
      <c r="G50" s="112">
        <v>135379.26040829529</v>
      </c>
      <c r="H50" s="112">
        <v>130894.61585849371</v>
      </c>
      <c r="I50" s="111" t="s">
        <v>74</v>
      </c>
      <c r="J50" s="111" t="s">
        <v>119</v>
      </c>
      <c r="K50" s="114" t="s">
        <v>83</v>
      </c>
    </row>
    <row r="51" spans="1:11" x14ac:dyDescent="0.25">
      <c r="A51" s="109" t="s">
        <v>162</v>
      </c>
      <c r="B51" s="110">
        <v>26786</v>
      </c>
      <c r="C51" s="111">
        <v>51</v>
      </c>
      <c r="D51" s="111" t="s">
        <v>79</v>
      </c>
      <c r="E51" s="112">
        <v>59095180</v>
      </c>
      <c r="F51" s="110">
        <v>45078</v>
      </c>
      <c r="G51" s="112">
        <v>656903.73592682404</v>
      </c>
      <c r="H51" s="112">
        <v>645651.02487792308</v>
      </c>
      <c r="I51" s="111" t="s">
        <v>74</v>
      </c>
      <c r="J51" s="111" t="s">
        <v>119</v>
      </c>
      <c r="K51" s="114" t="s">
        <v>83</v>
      </c>
    </row>
    <row r="52" spans="1:11" x14ac:dyDescent="0.25">
      <c r="A52" s="109" t="s">
        <v>163</v>
      </c>
      <c r="B52" s="110">
        <v>35097</v>
      </c>
      <c r="C52" s="111">
        <v>28</v>
      </c>
      <c r="D52" s="111" t="s">
        <v>73</v>
      </c>
      <c r="E52" s="112">
        <v>30332533</v>
      </c>
      <c r="F52" s="110">
        <v>45078</v>
      </c>
      <c r="G52" s="112">
        <v>312594.88550371135</v>
      </c>
      <c r="H52" s="112">
        <v>311520.97613973118</v>
      </c>
      <c r="I52" s="111" t="s">
        <v>74</v>
      </c>
      <c r="J52" s="111" t="s">
        <v>114</v>
      </c>
      <c r="K52" s="114" t="s">
        <v>83</v>
      </c>
    </row>
    <row r="53" spans="1:11" x14ac:dyDescent="0.25">
      <c r="A53" s="109" t="s">
        <v>164</v>
      </c>
      <c r="B53" s="110">
        <v>25205</v>
      </c>
      <c r="C53" s="111">
        <v>55</v>
      </c>
      <c r="D53" s="111" t="s">
        <v>73</v>
      </c>
      <c r="E53" s="112">
        <v>78319843</v>
      </c>
      <c r="F53" s="110">
        <v>45078</v>
      </c>
      <c r="G53" s="112">
        <v>898461.58738850907</v>
      </c>
      <c r="H53" s="112">
        <v>876060.13400306401</v>
      </c>
      <c r="I53" s="111" t="s">
        <v>74</v>
      </c>
      <c r="J53" s="111" t="s">
        <v>117</v>
      </c>
      <c r="K53" s="114" t="s">
        <v>83</v>
      </c>
    </row>
    <row r="54" spans="1:11" x14ac:dyDescent="0.25">
      <c r="A54" s="109" t="s">
        <v>165</v>
      </c>
      <c r="B54" s="110">
        <v>29161</v>
      </c>
      <c r="C54" s="111">
        <v>44</v>
      </c>
      <c r="D54" s="111" t="s">
        <v>73</v>
      </c>
      <c r="E54" s="112">
        <v>66162838</v>
      </c>
      <c r="F54" s="110">
        <v>45078</v>
      </c>
      <c r="G54" s="112">
        <v>707556.57834955177</v>
      </c>
      <c r="H54" s="112">
        <v>701236.04578176548</v>
      </c>
      <c r="I54" s="111" t="s">
        <v>74</v>
      </c>
      <c r="J54" s="111" t="s">
        <v>117</v>
      </c>
      <c r="K54" s="114" t="s">
        <v>83</v>
      </c>
    </row>
    <row r="55" spans="1:11" x14ac:dyDescent="0.25">
      <c r="A55" s="109" t="s">
        <v>166</v>
      </c>
      <c r="B55" s="110">
        <v>30145</v>
      </c>
      <c r="C55" s="111">
        <v>41</v>
      </c>
      <c r="D55" s="111" t="s">
        <v>79</v>
      </c>
      <c r="E55" s="112">
        <v>17629744.333333299</v>
      </c>
      <c r="F55" s="110">
        <v>45078</v>
      </c>
      <c r="G55" s="112">
        <v>186389.62710108401</v>
      </c>
      <c r="H55" s="112">
        <v>185110.71892030098</v>
      </c>
      <c r="I55" s="111" t="s">
        <v>74</v>
      </c>
      <c r="J55" s="111" t="s">
        <v>111</v>
      </c>
      <c r="K55" s="114" t="s">
        <v>83</v>
      </c>
    </row>
    <row r="56" spans="1:11" x14ac:dyDescent="0.25">
      <c r="A56" s="109" t="s">
        <v>167</v>
      </c>
      <c r="B56" s="110">
        <v>32330</v>
      </c>
      <c r="C56" s="111">
        <v>35</v>
      </c>
      <c r="D56" s="111" t="s">
        <v>73</v>
      </c>
      <c r="E56" s="112">
        <v>36464052</v>
      </c>
      <c r="F56" s="110">
        <v>45078</v>
      </c>
      <c r="G56" s="112">
        <v>379469.8709451998</v>
      </c>
      <c r="H56" s="112">
        <v>377779.90466112358</v>
      </c>
      <c r="I56" s="111" t="s">
        <v>74</v>
      </c>
      <c r="J56" s="111" t="s">
        <v>113</v>
      </c>
      <c r="K56" s="114" t="s">
        <v>83</v>
      </c>
    </row>
    <row r="57" spans="1:11" x14ac:dyDescent="0.25">
      <c r="A57" s="109" t="s">
        <v>168</v>
      </c>
      <c r="B57" s="110">
        <v>29409</v>
      </c>
      <c r="C57" s="111">
        <v>43</v>
      </c>
      <c r="D57" s="111" t="s">
        <v>79</v>
      </c>
      <c r="E57" s="112">
        <v>50000000</v>
      </c>
      <c r="F57" s="110">
        <v>45078</v>
      </c>
      <c r="G57" s="112">
        <v>532512.92244111735</v>
      </c>
      <c r="H57" s="112">
        <v>528165.21471502504</v>
      </c>
      <c r="I57" s="111" t="s">
        <v>74</v>
      </c>
      <c r="J57" s="111" t="s">
        <v>113</v>
      </c>
      <c r="K57" s="114" t="s">
        <v>83</v>
      </c>
    </row>
    <row r="58" spans="1:11" x14ac:dyDescent="0.25">
      <c r="A58" s="109" t="s">
        <v>169</v>
      </c>
      <c r="B58" s="110">
        <v>29377</v>
      </c>
      <c r="C58" s="111">
        <v>43</v>
      </c>
      <c r="D58" s="111" t="s">
        <v>73</v>
      </c>
      <c r="E58" s="112">
        <v>53126282</v>
      </c>
      <c r="F58" s="110">
        <v>45078</v>
      </c>
      <c r="G58" s="112">
        <v>565808.63372501859</v>
      </c>
      <c r="H58" s="112">
        <v>561189.08279081935</v>
      </c>
      <c r="I58" s="111" t="s">
        <v>74</v>
      </c>
      <c r="J58" s="111" t="s">
        <v>114</v>
      </c>
      <c r="K58" s="114" t="s">
        <v>83</v>
      </c>
    </row>
    <row r="59" spans="1:11" x14ac:dyDescent="0.25">
      <c r="A59" s="109" t="s">
        <v>170</v>
      </c>
      <c r="B59" s="110">
        <v>28769</v>
      </c>
      <c r="C59" s="111">
        <v>45</v>
      </c>
      <c r="D59" s="111" t="s">
        <v>79</v>
      </c>
      <c r="E59" s="112">
        <v>32523307</v>
      </c>
      <c r="F59" s="110">
        <v>45078</v>
      </c>
      <c r="G59" s="112">
        <v>349356.74841276876</v>
      </c>
      <c r="H59" s="112">
        <v>345936.77963111788</v>
      </c>
      <c r="I59" s="111" t="s">
        <v>74</v>
      </c>
      <c r="J59" s="111" t="s">
        <v>117</v>
      </c>
      <c r="K59" s="114" t="s">
        <v>83</v>
      </c>
    </row>
    <row r="60" spans="1:11" x14ac:dyDescent="0.25">
      <c r="A60" s="109" t="s">
        <v>171</v>
      </c>
      <c r="B60" s="110">
        <v>27182</v>
      </c>
      <c r="C60" s="111">
        <v>49</v>
      </c>
      <c r="D60" s="111" t="s">
        <v>79</v>
      </c>
      <c r="E60" s="112">
        <v>98858401</v>
      </c>
      <c r="F60" s="110">
        <v>45078</v>
      </c>
      <c r="G60" s="112">
        <v>1084739.2133386836</v>
      </c>
      <c r="H60" s="112">
        <v>1069325.9231843713</v>
      </c>
      <c r="I60" s="111" t="s">
        <v>74</v>
      </c>
      <c r="J60" s="111" t="s">
        <v>119</v>
      </c>
      <c r="K60" s="114" t="s">
        <v>83</v>
      </c>
    </row>
    <row r="61" spans="1:11" x14ac:dyDescent="0.25">
      <c r="A61" s="109" t="s">
        <v>172</v>
      </c>
      <c r="B61" s="110">
        <v>34309</v>
      </c>
      <c r="C61" s="111">
        <v>30</v>
      </c>
      <c r="D61" s="111" t="s">
        <v>73</v>
      </c>
      <c r="E61" s="112">
        <v>18200486</v>
      </c>
      <c r="F61" s="110">
        <v>45078</v>
      </c>
      <c r="G61" s="112">
        <v>187944.67522471331</v>
      </c>
      <c r="H61" s="112">
        <v>187273.4833512711</v>
      </c>
      <c r="I61" s="111" t="s">
        <v>74</v>
      </c>
      <c r="J61" s="111" t="s">
        <v>114</v>
      </c>
      <c r="K61" s="114" t="s">
        <v>83</v>
      </c>
    </row>
    <row r="62" spans="1:11" x14ac:dyDescent="0.25">
      <c r="A62" s="109" t="s">
        <v>173</v>
      </c>
      <c r="B62" s="110">
        <v>29569</v>
      </c>
      <c r="C62" s="111">
        <v>43</v>
      </c>
      <c r="D62" s="111" t="s">
        <v>73</v>
      </c>
      <c r="E62" s="112">
        <v>9552361</v>
      </c>
      <c r="F62" s="110">
        <v>45078</v>
      </c>
      <c r="G62" s="112">
        <v>101735.11344645108</v>
      </c>
      <c r="H62" s="112">
        <v>100904.49597200862</v>
      </c>
      <c r="I62" s="111" t="s">
        <v>74</v>
      </c>
      <c r="J62" s="111" t="s">
        <v>111</v>
      </c>
      <c r="K62" s="114" t="s">
        <v>83</v>
      </c>
    </row>
    <row r="63" spans="1:11" x14ac:dyDescent="0.25">
      <c r="A63" s="109" t="s">
        <v>174</v>
      </c>
      <c r="B63" s="110">
        <v>29441</v>
      </c>
      <c r="C63" s="111">
        <v>43</v>
      </c>
      <c r="D63" s="111" t="s">
        <v>73</v>
      </c>
      <c r="E63" s="112">
        <v>5600001</v>
      </c>
      <c r="F63" s="110">
        <v>45078</v>
      </c>
      <c r="G63" s="112">
        <v>59641.45796366359</v>
      </c>
      <c r="H63" s="112">
        <v>59154.514611387094</v>
      </c>
      <c r="I63" s="111" t="s">
        <v>74</v>
      </c>
      <c r="J63" s="111" t="s">
        <v>119</v>
      </c>
      <c r="K63" s="114" t="s">
        <v>83</v>
      </c>
    </row>
    <row r="64" spans="1:11" x14ac:dyDescent="0.25">
      <c r="A64" s="109" t="s">
        <v>175</v>
      </c>
      <c r="B64" s="110">
        <v>26391</v>
      </c>
      <c r="C64" s="111">
        <v>52</v>
      </c>
      <c r="D64" s="111" t="s">
        <v>79</v>
      </c>
      <c r="E64" s="112">
        <v>70162145</v>
      </c>
      <c r="F64" s="110">
        <v>45078</v>
      </c>
      <c r="G64" s="112">
        <v>785519.40877302783</v>
      </c>
      <c r="H64" s="112">
        <v>770743.93157807866</v>
      </c>
      <c r="I64" s="111" t="s">
        <v>74</v>
      </c>
      <c r="J64" s="111" t="s">
        <v>119</v>
      </c>
      <c r="K64" s="114" t="s">
        <v>83</v>
      </c>
    </row>
    <row r="65" spans="1:11" x14ac:dyDescent="0.25">
      <c r="A65" s="109" t="s">
        <v>176</v>
      </c>
      <c r="B65" s="110">
        <v>22038</v>
      </c>
      <c r="C65" s="111">
        <v>64</v>
      </c>
      <c r="D65" s="111" t="s">
        <v>79</v>
      </c>
      <c r="E65" s="112">
        <v>84870104</v>
      </c>
      <c r="F65" s="110">
        <v>45078</v>
      </c>
      <c r="G65" s="112">
        <v>1079714.1265042636</v>
      </c>
      <c r="H65" s="112">
        <v>1017143.1617102573</v>
      </c>
      <c r="I65" s="111" t="s">
        <v>74</v>
      </c>
      <c r="J65" s="111" t="s">
        <v>114</v>
      </c>
      <c r="K65" s="114" t="s">
        <v>83</v>
      </c>
    </row>
    <row r="66" spans="1:11" x14ac:dyDescent="0.25">
      <c r="A66" s="109" t="s">
        <v>177</v>
      </c>
      <c r="B66" s="110">
        <v>27978</v>
      </c>
      <c r="C66" s="111">
        <v>47</v>
      </c>
      <c r="D66" s="111" t="s">
        <v>73</v>
      </c>
      <c r="E66" s="112">
        <v>22184450</v>
      </c>
      <c r="F66" s="110">
        <v>45078</v>
      </c>
      <c r="G66" s="112">
        <v>240670.29082128845</v>
      </c>
      <c r="H66" s="112">
        <v>237833.59583129323</v>
      </c>
      <c r="I66" s="111" t="s">
        <v>74</v>
      </c>
      <c r="J66" s="111" t="s">
        <v>117</v>
      </c>
      <c r="K66" s="114" t="s">
        <v>83</v>
      </c>
    </row>
    <row r="67" spans="1:11" x14ac:dyDescent="0.25">
      <c r="A67" s="109" t="s">
        <v>178</v>
      </c>
      <c r="B67" s="110">
        <v>27577</v>
      </c>
      <c r="C67" s="111">
        <v>48</v>
      </c>
      <c r="D67" s="111" t="s">
        <v>79</v>
      </c>
      <c r="E67" s="112">
        <v>51241150</v>
      </c>
      <c r="F67" s="110">
        <v>45078</v>
      </c>
      <c r="G67" s="112">
        <v>558957.21134173882</v>
      </c>
      <c r="H67" s="112">
        <v>551723.62046506093</v>
      </c>
      <c r="I67" s="111" t="s">
        <v>74</v>
      </c>
      <c r="J67" s="111" t="s">
        <v>117</v>
      </c>
      <c r="K67" s="114" t="s">
        <v>83</v>
      </c>
    </row>
    <row r="68" spans="1:11" x14ac:dyDescent="0.25">
      <c r="A68" s="109" t="s">
        <v>179</v>
      </c>
      <c r="B68" s="110">
        <v>25998</v>
      </c>
      <c r="C68" s="111">
        <v>53</v>
      </c>
      <c r="D68" s="111" t="s">
        <v>79</v>
      </c>
      <c r="E68" s="112">
        <v>53930272</v>
      </c>
      <c r="F68" s="110">
        <v>45078</v>
      </c>
      <c r="G68" s="112">
        <v>608407.08522763639</v>
      </c>
      <c r="H68" s="112">
        <v>595838.99727341521</v>
      </c>
      <c r="I68" s="111" t="s">
        <v>74</v>
      </c>
      <c r="J68" s="111" t="s">
        <v>111</v>
      </c>
      <c r="K68" s="114" t="s">
        <v>83</v>
      </c>
    </row>
    <row r="69" spans="1:11" x14ac:dyDescent="0.25">
      <c r="A69" s="109" t="s">
        <v>180</v>
      </c>
      <c r="B69" s="110">
        <v>30081</v>
      </c>
      <c r="C69" s="111">
        <v>42</v>
      </c>
      <c r="D69" s="111" t="s">
        <v>79</v>
      </c>
      <c r="E69" s="112">
        <v>12565055.3333333</v>
      </c>
      <c r="F69" s="110">
        <v>45078</v>
      </c>
      <c r="G69" s="112">
        <v>133311.86948076994</v>
      </c>
      <c r="H69" s="112">
        <v>132315.35041313453</v>
      </c>
      <c r="I69" s="111" t="s">
        <v>74</v>
      </c>
      <c r="J69" s="111" t="s">
        <v>113</v>
      </c>
      <c r="K69" s="114" t="s">
        <v>83</v>
      </c>
    </row>
    <row r="70" spans="1:11" x14ac:dyDescent="0.25">
      <c r="A70" s="109" t="s">
        <v>181</v>
      </c>
      <c r="B70" s="110">
        <v>29557</v>
      </c>
      <c r="C70" s="111">
        <v>43</v>
      </c>
      <c r="D70" s="111" t="s">
        <v>79</v>
      </c>
      <c r="E70" s="112">
        <v>44985175</v>
      </c>
      <c r="F70" s="110">
        <v>45078</v>
      </c>
      <c r="G70" s="112">
        <v>479103.74011550186</v>
      </c>
      <c r="H70" s="112">
        <v>475192.09225735947</v>
      </c>
      <c r="I70" s="111" t="s">
        <v>74</v>
      </c>
      <c r="J70" s="111" t="s">
        <v>113</v>
      </c>
      <c r="K70" s="114" t="s">
        <v>83</v>
      </c>
    </row>
    <row r="71" spans="1:11" x14ac:dyDescent="0.25">
      <c r="A71" s="109" t="s">
        <v>182</v>
      </c>
      <c r="B71" s="110">
        <v>29857</v>
      </c>
      <c r="C71" s="111">
        <v>42</v>
      </c>
      <c r="D71" s="111" t="s">
        <v>79</v>
      </c>
      <c r="E71" s="112">
        <v>3698521</v>
      </c>
      <c r="F71" s="110">
        <v>45078</v>
      </c>
      <c r="G71" s="112">
        <v>39240.316556018464</v>
      </c>
      <c r="H71" s="112">
        <v>38946.991409349779</v>
      </c>
      <c r="I71" s="111" t="s">
        <v>74</v>
      </c>
      <c r="J71" s="111" t="s">
        <v>114</v>
      </c>
      <c r="K71" s="114" t="s">
        <v>83</v>
      </c>
    </row>
    <row r="72" spans="1:11" x14ac:dyDescent="0.25">
      <c r="A72" s="109" t="s">
        <v>183</v>
      </c>
      <c r="B72" s="110">
        <v>22434</v>
      </c>
      <c r="C72" s="111">
        <v>62</v>
      </c>
      <c r="D72" s="111" t="s">
        <v>73</v>
      </c>
      <c r="E72" s="112">
        <v>68054511</v>
      </c>
      <c r="F72" s="110">
        <v>45078</v>
      </c>
      <c r="G72" s="112">
        <v>842607.99153109326</v>
      </c>
      <c r="H72" s="112">
        <v>801943.23850031861</v>
      </c>
      <c r="I72" s="111" t="s">
        <v>74</v>
      </c>
      <c r="J72" s="111" t="s">
        <v>117</v>
      </c>
      <c r="K72" s="114" t="s">
        <v>83</v>
      </c>
    </row>
    <row r="73" spans="1:11" x14ac:dyDescent="0.25">
      <c r="A73" s="109" t="s">
        <v>184</v>
      </c>
      <c r="B73" s="110">
        <v>24413</v>
      </c>
      <c r="C73" s="111">
        <v>57</v>
      </c>
      <c r="D73" s="111" t="s">
        <v>73</v>
      </c>
      <c r="E73" s="112">
        <v>84545336</v>
      </c>
      <c r="F73" s="110">
        <v>45078</v>
      </c>
      <c r="G73" s="112">
        <v>988368.36117726797</v>
      </c>
      <c r="H73" s="112">
        <v>958589.84227784444</v>
      </c>
      <c r="I73" s="111" t="s">
        <v>74</v>
      </c>
      <c r="J73" s="111" t="s">
        <v>119</v>
      </c>
      <c r="K73" s="114" t="s">
        <v>83</v>
      </c>
    </row>
    <row r="74" spans="1:11" x14ac:dyDescent="0.25">
      <c r="A74" s="109" t="s">
        <v>185</v>
      </c>
      <c r="B74" s="110">
        <v>33517</v>
      </c>
      <c r="C74" s="111">
        <v>32</v>
      </c>
      <c r="D74" s="111" t="s">
        <v>73</v>
      </c>
      <c r="E74" s="112">
        <v>71036219</v>
      </c>
      <c r="F74" s="110">
        <v>45078</v>
      </c>
      <c r="G74" s="112">
        <v>735461.08885395585</v>
      </c>
      <c r="H74" s="112">
        <v>732644.6559444241</v>
      </c>
      <c r="I74" s="111" t="s">
        <v>74</v>
      </c>
      <c r="J74" s="111" t="s">
        <v>114</v>
      </c>
      <c r="K74" s="114" t="s">
        <v>83</v>
      </c>
    </row>
    <row r="75" spans="1:11" x14ac:dyDescent="0.25">
      <c r="A75" s="109" t="s">
        <v>186</v>
      </c>
      <c r="B75" s="110">
        <v>24017</v>
      </c>
      <c r="C75" s="111">
        <v>58</v>
      </c>
      <c r="D75" s="111" t="s">
        <v>73</v>
      </c>
      <c r="E75" s="112">
        <v>38666520</v>
      </c>
      <c r="F75" s="110">
        <v>45078</v>
      </c>
      <c r="G75" s="112">
        <v>456705.39431945217</v>
      </c>
      <c r="H75" s="112">
        <v>441576.33133504383</v>
      </c>
      <c r="I75" s="111" t="s">
        <v>74</v>
      </c>
      <c r="J75" s="111" t="s">
        <v>111</v>
      </c>
      <c r="K75" s="114" t="s">
        <v>83</v>
      </c>
    </row>
    <row r="76" spans="1:11" x14ac:dyDescent="0.25">
      <c r="A76" s="109" t="s">
        <v>187</v>
      </c>
      <c r="B76" s="110">
        <v>22829</v>
      </c>
      <c r="C76" s="111">
        <v>61</v>
      </c>
      <c r="D76" s="111" t="s">
        <v>73</v>
      </c>
      <c r="E76" s="112">
        <v>79047807</v>
      </c>
      <c r="F76" s="110">
        <v>45078</v>
      </c>
      <c r="G76" s="112">
        <v>966388.66410117119</v>
      </c>
      <c r="H76" s="112">
        <v>923897.11679904687</v>
      </c>
      <c r="I76" s="111" t="s">
        <v>74</v>
      </c>
      <c r="J76" s="111" t="s">
        <v>119</v>
      </c>
      <c r="K76" s="114" t="s">
        <v>83</v>
      </c>
    </row>
    <row r="77" spans="1:11" x14ac:dyDescent="0.25">
      <c r="A77" s="109" t="s">
        <v>188</v>
      </c>
      <c r="B77" s="110">
        <v>24808</v>
      </c>
      <c r="C77" s="111">
        <v>56</v>
      </c>
      <c r="D77" s="111" t="s">
        <v>73</v>
      </c>
      <c r="E77" s="112">
        <v>10736561</v>
      </c>
      <c r="F77" s="110">
        <v>45078</v>
      </c>
      <c r="G77" s="112">
        <v>124300.34508227247</v>
      </c>
      <c r="H77" s="112">
        <v>120893.87441206766</v>
      </c>
      <c r="I77" s="111" t="s">
        <v>74</v>
      </c>
      <c r="J77" s="111" t="s">
        <v>119</v>
      </c>
      <c r="K77" s="114" t="s">
        <v>83</v>
      </c>
    </row>
    <row r="78" spans="1:11" x14ac:dyDescent="0.25">
      <c r="A78" s="109" t="s">
        <v>189</v>
      </c>
      <c r="B78" s="110">
        <v>29505</v>
      </c>
      <c r="C78" s="111">
        <v>43</v>
      </c>
      <c r="D78" s="111" t="s">
        <v>73</v>
      </c>
      <c r="E78" s="112">
        <v>7891563</v>
      </c>
      <c r="F78" s="110">
        <v>45078</v>
      </c>
      <c r="G78" s="112">
        <v>84047.18551516383</v>
      </c>
      <c r="H78" s="112">
        <v>83360.981326642926</v>
      </c>
      <c r="I78" s="111" t="s">
        <v>74</v>
      </c>
      <c r="J78" s="111" t="s">
        <v>114</v>
      </c>
      <c r="K78" s="114" t="s">
        <v>83</v>
      </c>
    </row>
    <row r="79" spans="1:11" x14ac:dyDescent="0.25">
      <c r="A79" s="109" t="s">
        <v>190</v>
      </c>
      <c r="B79" s="110">
        <v>30743</v>
      </c>
      <c r="C79" s="111">
        <v>40</v>
      </c>
      <c r="D79" s="111" t="s">
        <v>73</v>
      </c>
      <c r="E79" s="112">
        <v>83141816</v>
      </c>
      <c r="F79" s="110">
        <v>45078</v>
      </c>
      <c r="G79" s="112">
        <v>876168.90000272787</v>
      </c>
      <c r="H79" s="112">
        <v>870632.6486575203</v>
      </c>
      <c r="I79" s="111" t="s">
        <v>74</v>
      </c>
      <c r="J79" s="111" t="s">
        <v>117</v>
      </c>
      <c r="K79" s="114" t="s">
        <v>83</v>
      </c>
    </row>
    <row r="80" spans="1:11" x14ac:dyDescent="0.25">
      <c r="A80" s="109" t="s">
        <v>191</v>
      </c>
      <c r="B80" s="110">
        <v>30017</v>
      </c>
      <c r="C80" s="111">
        <v>42</v>
      </c>
      <c r="D80" s="111" t="s">
        <v>73</v>
      </c>
      <c r="E80" s="112">
        <v>17500366.333333299</v>
      </c>
      <c r="F80" s="110">
        <v>45078</v>
      </c>
      <c r="G80" s="112">
        <v>185674.19646023013</v>
      </c>
      <c r="H80" s="112">
        <v>184286.26395383614</v>
      </c>
      <c r="I80" s="111" t="s">
        <v>74</v>
      </c>
      <c r="J80" s="111" t="s">
        <v>117</v>
      </c>
      <c r="K80" s="114" t="s">
        <v>83</v>
      </c>
    </row>
    <row r="81" spans="1:11" x14ac:dyDescent="0.25">
      <c r="A81" s="109" t="s">
        <v>192</v>
      </c>
      <c r="B81" s="110">
        <v>29633</v>
      </c>
      <c r="C81" s="111">
        <v>43</v>
      </c>
      <c r="D81" s="111" t="s">
        <v>73</v>
      </c>
      <c r="E81" s="112">
        <v>9035214</v>
      </c>
      <c r="F81" s="110">
        <v>45078</v>
      </c>
      <c r="G81" s="112">
        <v>96227.364240417955</v>
      </c>
      <c r="H81" s="112">
        <v>95441.714846123999</v>
      </c>
      <c r="I81" s="111" t="s">
        <v>74</v>
      </c>
      <c r="J81" s="111" t="s">
        <v>111</v>
      </c>
      <c r="K81" s="114" t="s">
        <v>83</v>
      </c>
    </row>
    <row r="82" spans="1:11" x14ac:dyDescent="0.25">
      <c r="A82" s="109" t="s">
        <v>193</v>
      </c>
      <c r="B82" s="110">
        <v>31934</v>
      </c>
      <c r="C82" s="111">
        <v>36</v>
      </c>
      <c r="D82" s="111" t="s">
        <v>79</v>
      </c>
      <c r="E82" s="112">
        <v>31745609</v>
      </c>
      <c r="F82" s="110">
        <v>45078</v>
      </c>
      <c r="G82" s="112">
        <v>331053.65809227969</v>
      </c>
      <c r="H82" s="112">
        <v>329487.06041100604</v>
      </c>
      <c r="I82" s="111" t="s">
        <v>74</v>
      </c>
      <c r="J82" s="111" t="s">
        <v>113</v>
      </c>
      <c r="K82" s="114" t="s">
        <v>83</v>
      </c>
    </row>
    <row r="83" spans="1:11" x14ac:dyDescent="0.25">
      <c r="A83" s="109" t="s">
        <v>215</v>
      </c>
      <c r="B83" s="110">
        <v>32726</v>
      </c>
      <c r="C83" s="111">
        <v>34</v>
      </c>
      <c r="D83" s="111" t="s">
        <v>73</v>
      </c>
      <c r="E83" s="112">
        <v>21249756</v>
      </c>
      <c r="F83" s="110">
        <v>45078</v>
      </c>
      <c r="G83" s="112">
        <v>220721.52443313322</v>
      </c>
      <c r="H83" s="112">
        <v>219792.22082688889</v>
      </c>
      <c r="I83" s="111" t="s">
        <v>74</v>
      </c>
      <c r="J83" s="111" t="s">
        <v>113</v>
      </c>
      <c r="K83" s="114" t="s">
        <v>83</v>
      </c>
    </row>
    <row r="84" spans="1:11" x14ac:dyDescent="0.25">
      <c r="A84" s="109" t="s">
        <v>195</v>
      </c>
      <c r="B84" s="110">
        <v>28765</v>
      </c>
      <c r="C84" s="111">
        <v>45</v>
      </c>
      <c r="D84" s="111" t="s">
        <v>73</v>
      </c>
      <c r="E84" s="112">
        <v>30104020</v>
      </c>
      <c r="F84" s="110">
        <v>45078</v>
      </c>
      <c r="G84" s="112">
        <v>323369.4083247119</v>
      </c>
      <c r="H84" s="112">
        <v>320203.8382121094</v>
      </c>
      <c r="I84" s="111" t="s">
        <v>74</v>
      </c>
      <c r="J84" s="111" t="s">
        <v>114</v>
      </c>
      <c r="K84" s="114" t="s">
        <v>83</v>
      </c>
    </row>
    <row r="85" spans="1:11" x14ac:dyDescent="0.25">
      <c r="A85" s="109" t="s">
        <v>196</v>
      </c>
      <c r="B85" s="110">
        <v>30209</v>
      </c>
      <c r="C85" s="111">
        <v>41</v>
      </c>
      <c r="D85" s="111" t="s">
        <v>73</v>
      </c>
      <c r="E85" s="112">
        <v>12694433.3333333</v>
      </c>
      <c r="F85" s="110">
        <v>45078</v>
      </c>
      <c r="G85" s="112">
        <v>134211.28806649</v>
      </c>
      <c r="H85" s="112">
        <v>133290.40037047793</v>
      </c>
      <c r="I85" s="111" t="s">
        <v>74</v>
      </c>
      <c r="J85" s="111" t="s">
        <v>117</v>
      </c>
      <c r="K85" s="114" t="s">
        <v>83</v>
      </c>
    </row>
    <row r="86" spans="1:11" x14ac:dyDescent="0.25">
      <c r="A86" s="109" t="s">
        <v>197</v>
      </c>
      <c r="B86" s="110">
        <v>30747</v>
      </c>
      <c r="C86" s="111">
        <v>40</v>
      </c>
      <c r="D86" s="111" t="s">
        <v>79</v>
      </c>
      <c r="E86" s="112">
        <v>51750944</v>
      </c>
      <c r="F86" s="110">
        <v>45078</v>
      </c>
      <c r="G86" s="112">
        <v>545364.17244702438</v>
      </c>
      <c r="H86" s="112">
        <v>541918.17803506972</v>
      </c>
      <c r="I86" s="111" t="s">
        <v>74</v>
      </c>
      <c r="J86" s="111" t="s">
        <v>119</v>
      </c>
      <c r="K86" s="114" t="s">
        <v>83</v>
      </c>
    </row>
    <row r="87" spans="1:11" x14ac:dyDescent="0.25">
      <c r="A87" s="109" t="s">
        <v>198</v>
      </c>
      <c r="B87" s="110">
        <v>30353</v>
      </c>
      <c r="C87" s="111">
        <v>41</v>
      </c>
      <c r="D87" s="111" t="s">
        <v>79</v>
      </c>
      <c r="E87" s="112">
        <v>99235597</v>
      </c>
      <c r="F87" s="110">
        <v>45078</v>
      </c>
      <c r="G87" s="112">
        <v>1049163.5936552619</v>
      </c>
      <c r="H87" s="112">
        <v>1041964.7815551778</v>
      </c>
      <c r="I87" s="111" t="s">
        <v>74</v>
      </c>
      <c r="J87" s="111" t="s">
        <v>114</v>
      </c>
      <c r="K87" s="114" t="s">
        <v>83</v>
      </c>
    </row>
    <row r="88" spans="1:11" x14ac:dyDescent="0.25">
      <c r="A88" s="109" t="s">
        <v>199</v>
      </c>
      <c r="B88" s="110">
        <v>28374</v>
      </c>
      <c r="C88" s="111">
        <v>46</v>
      </c>
      <c r="D88" s="111" t="s">
        <v>79</v>
      </c>
      <c r="E88" s="112">
        <v>37587445</v>
      </c>
      <c r="F88" s="110">
        <v>45078</v>
      </c>
      <c r="G88" s="112">
        <v>405686.63527597854</v>
      </c>
      <c r="H88" s="112">
        <v>401330.12576188333</v>
      </c>
      <c r="I88" s="111" t="s">
        <v>74</v>
      </c>
      <c r="J88" s="111" t="s">
        <v>111</v>
      </c>
      <c r="K88" s="114" t="s">
        <v>83</v>
      </c>
    </row>
    <row r="89" spans="1:11" x14ac:dyDescent="0.25">
      <c r="A89" s="109" t="s">
        <v>200</v>
      </c>
      <c r="B89" s="110">
        <v>31538</v>
      </c>
      <c r="C89" s="111">
        <v>38</v>
      </c>
      <c r="D89" s="111" t="s">
        <v>73</v>
      </c>
      <c r="E89" s="112">
        <v>67567132</v>
      </c>
      <c r="F89" s="110">
        <v>45078</v>
      </c>
      <c r="G89" s="112">
        <v>707992.01521271269</v>
      </c>
      <c r="H89" s="112">
        <v>704152.03845694009</v>
      </c>
      <c r="I89" s="111" t="s">
        <v>74</v>
      </c>
      <c r="J89" s="111" t="s">
        <v>119</v>
      </c>
      <c r="K89" s="114" t="s">
        <v>83</v>
      </c>
    </row>
    <row r="90" spans="1:11" x14ac:dyDescent="0.25">
      <c r="A90" s="109" t="s">
        <v>201</v>
      </c>
      <c r="B90" s="110">
        <v>29281</v>
      </c>
      <c r="C90" s="111">
        <v>44</v>
      </c>
      <c r="D90" s="111" t="s">
        <v>79</v>
      </c>
      <c r="E90" s="112">
        <v>50091998</v>
      </c>
      <c r="F90" s="110">
        <v>45078</v>
      </c>
      <c r="G90" s="112">
        <v>535692.29765465308</v>
      </c>
      <c r="H90" s="112">
        <v>530907.01161924319</v>
      </c>
      <c r="I90" s="111" t="s">
        <v>74</v>
      </c>
      <c r="J90" s="111" t="s">
        <v>119</v>
      </c>
      <c r="K90" s="114" t="s">
        <v>83</v>
      </c>
    </row>
    <row r="91" spans="1:11" x14ac:dyDescent="0.25">
      <c r="A91" s="109" t="s">
        <v>202</v>
      </c>
      <c r="B91" s="110">
        <v>31143</v>
      </c>
      <c r="C91" s="111">
        <v>39</v>
      </c>
      <c r="D91" s="111" t="s">
        <v>73</v>
      </c>
      <c r="E91" s="112">
        <v>62432599</v>
      </c>
      <c r="F91" s="110">
        <v>45078</v>
      </c>
      <c r="G91" s="112">
        <v>655980.28992366779</v>
      </c>
      <c r="H91" s="112">
        <v>652146.11916740064</v>
      </c>
      <c r="I91" s="111" t="s">
        <v>74</v>
      </c>
      <c r="J91" s="111" t="s">
        <v>114</v>
      </c>
      <c r="K91" s="114" t="s">
        <v>83</v>
      </c>
    </row>
    <row r="92" spans="1:11" x14ac:dyDescent="0.25">
      <c r="A92" s="109" t="s">
        <v>203</v>
      </c>
      <c r="B92" s="110">
        <v>29249</v>
      </c>
      <c r="C92" s="111">
        <v>44</v>
      </c>
      <c r="D92" s="111" t="s">
        <v>79</v>
      </c>
      <c r="E92" s="112">
        <v>14067984</v>
      </c>
      <c r="F92" s="110">
        <v>45078</v>
      </c>
      <c r="G92" s="112">
        <v>150445.39992852544</v>
      </c>
      <c r="H92" s="112">
        <v>149101.48612852948</v>
      </c>
      <c r="I92" s="111" t="s">
        <v>74</v>
      </c>
      <c r="J92" s="111" t="s">
        <v>117</v>
      </c>
      <c r="K92" s="114" t="s">
        <v>83</v>
      </c>
    </row>
    <row r="93" spans="1:11" x14ac:dyDescent="0.25">
      <c r="A93" s="109" t="s">
        <v>204</v>
      </c>
      <c r="B93" s="110">
        <v>37074</v>
      </c>
      <c r="C93" s="111">
        <v>22</v>
      </c>
      <c r="D93" s="111" t="s">
        <v>73</v>
      </c>
      <c r="E93" s="112">
        <v>87943844</v>
      </c>
      <c r="F93" s="110">
        <v>45078</v>
      </c>
      <c r="G93" s="112">
        <v>903882.11758456531</v>
      </c>
      <c r="H93" s="112">
        <v>900442.57115268009</v>
      </c>
      <c r="I93" s="111" t="s">
        <v>74</v>
      </c>
      <c r="J93" s="111" t="s">
        <v>117</v>
      </c>
      <c r="K93" s="114" t="s">
        <v>83</v>
      </c>
    </row>
    <row r="94" spans="1:11" x14ac:dyDescent="0.25">
      <c r="A94" s="109" t="s">
        <v>205</v>
      </c>
      <c r="B94" s="110">
        <v>29697</v>
      </c>
      <c r="C94" s="111">
        <v>43</v>
      </c>
      <c r="D94" s="111" t="s">
        <v>79</v>
      </c>
      <c r="E94" s="112">
        <v>5462130</v>
      </c>
      <c r="F94" s="110">
        <v>45078</v>
      </c>
      <c r="G94" s="112">
        <v>58173.096181066008</v>
      </c>
      <c r="H94" s="112">
        <v>57698.141285027588</v>
      </c>
      <c r="I94" s="111" t="s">
        <v>74</v>
      </c>
      <c r="J94" s="111" t="s">
        <v>111</v>
      </c>
      <c r="K94" s="114" t="s">
        <v>83</v>
      </c>
    </row>
    <row r="95" spans="1:11" x14ac:dyDescent="0.25">
      <c r="A95" s="109" t="s">
        <v>206</v>
      </c>
      <c r="B95" s="110">
        <v>29761</v>
      </c>
      <c r="C95" s="111">
        <v>42</v>
      </c>
      <c r="D95" s="111" t="s">
        <v>79</v>
      </c>
      <c r="E95" s="112">
        <v>6663254</v>
      </c>
      <c r="F95" s="110">
        <v>45078</v>
      </c>
      <c r="G95" s="112">
        <v>70695.339097211079</v>
      </c>
      <c r="H95" s="112">
        <v>70166.884626669824</v>
      </c>
      <c r="I95" s="111" t="s">
        <v>74</v>
      </c>
      <c r="J95" s="111" t="s">
        <v>113</v>
      </c>
      <c r="K95" s="114" t="s">
        <v>83</v>
      </c>
    </row>
    <row r="96" spans="1:11" x14ac:dyDescent="0.25">
      <c r="A96" s="109" t="s">
        <v>207</v>
      </c>
      <c r="B96" s="110">
        <v>34705</v>
      </c>
      <c r="C96" s="111">
        <v>29</v>
      </c>
      <c r="D96" s="111" t="s">
        <v>79</v>
      </c>
      <c r="E96" s="112">
        <v>84533876</v>
      </c>
      <c r="F96" s="110">
        <v>45078</v>
      </c>
      <c r="G96" s="112">
        <v>871985.59915036999</v>
      </c>
      <c r="H96" s="112">
        <v>868944.34946189064</v>
      </c>
      <c r="I96" s="111" t="s">
        <v>74</v>
      </c>
      <c r="J96" s="111" t="s">
        <v>113</v>
      </c>
      <c r="K96" s="114" t="s">
        <v>83</v>
      </c>
    </row>
    <row r="97" spans="1:11" x14ac:dyDescent="0.25">
      <c r="A97" s="109" t="s">
        <v>208</v>
      </c>
      <c r="B97" s="110">
        <v>25605</v>
      </c>
      <c r="C97" s="111">
        <v>54</v>
      </c>
      <c r="D97" s="111" t="s">
        <v>79</v>
      </c>
      <c r="E97" s="112">
        <v>48561740</v>
      </c>
      <c r="F97" s="110">
        <v>45078</v>
      </c>
      <c r="G97" s="112">
        <v>552302.13860275573</v>
      </c>
      <c r="H97" s="112">
        <v>539769.75726179604</v>
      </c>
      <c r="I97" s="111" t="s">
        <v>74</v>
      </c>
      <c r="J97" s="111" t="s">
        <v>114</v>
      </c>
      <c r="K97" s="114" t="s">
        <v>83</v>
      </c>
    </row>
    <row r="98" spans="1:11" x14ac:dyDescent="0.25">
      <c r="A98" s="109" t="s">
        <v>209</v>
      </c>
      <c r="B98" s="110">
        <v>35887</v>
      </c>
      <c r="C98" s="111">
        <v>26</v>
      </c>
      <c r="D98" s="111" t="s">
        <v>73</v>
      </c>
      <c r="E98" s="112">
        <v>20615333</v>
      </c>
      <c r="F98" s="110">
        <v>45078</v>
      </c>
      <c r="G98" s="112">
        <v>212147.48628589546</v>
      </c>
      <c r="H98" s="112">
        <v>211420.51702384299</v>
      </c>
      <c r="I98" s="111" t="s">
        <v>74</v>
      </c>
      <c r="J98" s="111" t="s">
        <v>117</v>
      </c>
      <c r="K98" s="114" t="s">
        <v>83</v>
      </c>
    </row>
    <row r="99" spans="1:11" x14ac:dyDescent="0.25">
      <c r="A99" s="109" t="s">
        <v>210</v>
      </c>
      <c r="B99" s="110">
        <v>25601</v>
      </c>
      <c r="C99" s="111">
        <v>54</v>
      </c>
      <c r="D99" s="111" t="s">
        <v>79</v>
      </c>
      <c r="E99" s="112">
        <v>18484313</v>
      </c>
      <c r="F99" s="110">
        <v>45078</v>
      </c>
      <c r="G99" s="112">
        <v>210225.69620657581</v>
      </c>
      <c r="H99" s="112">
        <v>205455.42933925064</v>
      </c>
      <c r="I99" s="111" t="s">
        <v>74</v>
      </c>
      <c r="J99" s="111" t="s">
        <v>119</v>
      </c>
      <c r="K99" s="114" t="s">
        <v>83</v>
      </c>
    </row>
    <row r="100" spans="1:11" x14ac:dyDescent="0.25">
      <c r="A100" s="109" t="s">
        <v>211</v>
      </c>
      <c r="B100" s="110">
        <v>29561</v>
      </c>
      <c r="C100" s="111">
        <v>43</v>
      </c>
      <c r="D100" s="111" t="s">
        <v>79</v>
      </c>
      <c r="E100" s="112">
        <v>86244793</v>
      </c>
      <c r="F100" s="110">
        <v>45078</v>
      </c>
      <c r="G100" s="112">
        <v>918529.33531518432</v>
      </c>
      <c r="H100" s="112">
        <v>911029.9922579577</v>
      </c>
      <c r="I100" s="111" t="s">
        <v>74</v>
      </c>
      <c r="J100" s="111" t="s">
        <v>114</v>
      </c>
      <c r="K100" s="114" t="s">
        <v>83</v>
      </c>
    </row>
    <row r="101" spans="1:11" x14ac:dyDescent="0.25">
      <c r="A101" s="109" t="s">
        <v>212</v>
      </c>
      <c r="B101" s="110">
        <v>29473</v>
      </c>
      <c r="C101" s="111">
        <v>43</v>
      </c>
      <c r="D101" s="111" t="s">
        <v>73</v>
      </c>
      <c r="E101" s="112">
        <v>9800321</v>
      </c>
      <c r="F101" s="110">
        <v>45078</v>
      </c>
      <c r="G101" s="112">
        <v>104375.95153142109</v>
      </c>
      <c r="H101" s="112">
        <v>103523.77290482336</v>
      </c>
      <c r="I101" s="111" t="s">
        <v>74</v>
      </c>
      <c r="J101" s="111" t="s">
        <v>111</v>
      </c>
      <c r="K101" s="114" t="s">
        <v>83</v>
      </c>
    </row>
    <row r="102" spans="1:11" x14ac:dyDescent="0.25">
      <c r="A102" s="109" t="s">
        <v>213</v>
      </c>
      <c r="B102" s="110">
        <v>29345</v>
      </c>
      <c r="C102" s="111">
        <v>44</v>
      </c>
      <c r="D102" s="111" t="s">
        <v>73</v>
      </c>
      <c r="E102" s="112">
        <v>23598699</v>
      </c>
      <c r="F102" s="110">
        <v>45078</v>
      </c>
      <c r="G102" s="112">
        <v>252368.47787486063</v>
      </c>
      <c r="H102" s="112">
        <v>250114.09535295481</v>
      </c>
      <c r="I102" s="111" t="s">
        <v>74</v>
      </c>
      <c r="J102" s="111" t="s">
        <v>119</v>
      </c>
      <c r="K102" s="114" t="s">
        <v>83</v>
      </c>
    </row>
    <row r="103" spans="1:11" x14ac:dyDescent="0.25">
      <c r="A103" s="109" t="s">
        <v>216</v>
      </c>
      <c r="B103" s="110">
        <v>25792</v>
      </c>
      <c r="C103" s="111">
        <v>53</v>
      </c>
      <c r="D103" s="111" t="s">
        <v>73</v>
      </c>
      <c r="E103" s="112">
        <v>5000000</v>
      </c>
      <c r="F103" s="110">
        <v>45103</v>
      </c>
      <c r="G103" s="112">
        <v>56406.825208264891</v>
      </c>
      <c r="H103" s="112">
        <v>55241.608764129283</v>
      </c>
      <c r="I103" s="111" t="s">
        <v>74</v>
      </c>
      <c r="J103" s="111" t="s">
        <v>217</v>
      </c>
      <c r="K103" s="114" t="s">
        <v>83</v>
      </c>
    </row>
    <row r="104" spans="1:11" x14ac:dyDescent="0.25">
      <c r="A104" s="109" t="s">
        <v>219</v>
      </c>
      <c r="B104" s="110">
        <v>25792</v>
      </c>
      <c r="C104" s="111">
        <v>53</v>
      </c>
      <c r="D104" s="111" t="s">
        <v>73</v>
      </c>
      <c r="E104" s="112">
        <v>1000000</v>
      </c>
      <c r="F104" s="110">
        <v>45103</v>
      </c>
      <c r="G104" s="112">
        <v>11281.365041652976</v>
      </c>
      <c r="H104" s="112">
        <v>11048.321752825856</v>
      </c>
      <c r="I104" s="111" t="s">
        <v>74</v>
      </c>
      <c r="J104" s="111" t="s">
        <v>220</v>
      </c>
      <c r="K104" s="114" t="s">
        <v>83</v>
      </c>
    </row>
    <row r="105" spans="1:11" x14ac:dyDescent="0.25">
      <c r="A105" s="109" t="s">
        <v>221</v>
      </c>
      <c r="B105" s="110">
        <v>25792</v>
      </c>
      <c r="C105" s="111">
        <v>53</v>
      </c>
      <c r="D105" s="111" t="s">
        <v>73</v>
      </c>
      <c r="E105" s="112">
        <v>1000000</v>
      </c>
      <c r="F105" s="110">
        <v>45104</v>
      </c>
      <c r="G105" s="112">
        <v>12531.443263364969</v>
      </c>
      <c r="H105" s="112">
        <v>12280.99779219505</v>
      </c>
      <c r="I105" s="111" t="s">
        <v>74</v>
      </c>
      <c r="J105" s="111" t="s">
        <v>222</v>
      </c>
      <c r="K105" s="114" t="s">
        <v>223</v>
      </c>
    </row>
    <row r="106" spans="1:11" x14ac:dyDescent="0.25">
      <c r="A106" s="109" t="s">
        <v>224</v>
      </c>
      <c r="B106" s="110">
        <v>25792</v>
      </c>
      <c r="C106" s="111">
        <v>53</v>
      </c>
      <c r="D106" s="111" t="s">
        <v>73</v>
      </c>
      <c r="E106" s="112">
        <v>1000000</v>
      </c>
      <c r="F106" s="110">
        <v>45104</v>
      </c>
      <c r="G106" s="112">
        <v>12220.137218203448</v>
      </c>
      <c r="H106" s="112">
        <v>11975.913312061595</v>
      </c>
      <c r="I106" s="111" t="s">
        <v>74</v>
      </c>
      <c r="J106" s="111" t="s">
        <v>225</v>
      </c>
      <c r="K106" s="114" t="s">
        <v>226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4D52-8C84-4700-8E67-91EF71552845}">
  <sheetPr codeName="Sheet6"/>
  <dimension ref="A1:F101"/>
  <sheetViews>
    <sheetView workbookViewId="0">
      <selection activeCell="B1" sqref="B1"/>
    </sheetView>
  </sheetViews>
  <sheetFormatPr defaultRowHeight="13.2" x14ac:dyDescent="0.25"/>
  <cols>
    <col min="1" max="1" width="18.109375" customWidth="1"/>
    <col min="2" max="2" width="25.44140625" bestFit="1" customWidth="1"/>
    <col min="3" max="3" width="22.6640625" bestFit="1" customWidth="1"/>
    <col min="4" max="4" width="22.6640625" style="33" bestFit="1" customWidth="1"/>
    <col min="5" max="5" width="19.109375" bestFit="1" customWidth="1"/>
    <col min="6" max="6" width="17.88671875" customWidth="1"/>
  </cols>
  <sheetData>
    <row r="1" spans="1:6" ht="13.8" thickBot="1" x14ac:dyDescent="0.3">
      <c r="A1" s="115" t="s">
        <v>57</v>
      </c>
      <c r="B1" s="116" t="s">
        <v>58</v>
      </c>
      <c r="C1" s="116" t="s">
        <v>60</v>
      </c>
      <c r="D1" s="117" t="s">
        <v>61</v>
      </c>
      <c r="E1" s="116" t="s">
        <v>82</v>
      </c>
      <c r="F1" s="118" t="s">
        <v>72</v>
      </c>
    </row>
    <row r="2" spans="1:6" x14ac:dyDescent="0.25">
      <c r="A2" t="s">
        <v>93</v>
      </c>
      <c r="B2" s="125">
        <v>29537</v>
      </c>
      <c r="C2" t="s">
        <v>73</v>
      </c>
      <c r="D2" s="33">
        <v>7453216</v>
      </c>
      <c r="E2" t="s">
        <v>110</v>
      </c>
      <c r="F2" t="s">
        <v>111</v>
      </c>
    </row>
    <row r="3" spans="1:6" x14ac:dyDescent="0.25">
      <c r="A3" t="s">
        <v>94</v>
      </c>
      <c r="B3" s="125">
        <v>29793</v>
      </c>
      <c r="C3" t="s">
        <v>79</v>
      </c>
      <c r="D3" s="33">
        <v>2223658</v>
      </c>
      <c r="E3" s="125" t="s">
        <v>112</v>
      </c>
      <c r="F3" t="s">
        <v>113</v>
      </c>
    </row>
    <row r="4" spans="1:6" x14ac:dyDescent="0.25">
      <c r="A4" t="s">
        <v>95</v>
      </c>
      <c r="B4" s="125">
        <v>30113</v>
      </c>
      <c r="C4" t="s">
        <v>79</v>
      </c>
      <c r="D4" s="33">
        <v>15097399.8333333</v>
      </c>
      <c r="E4" t="s">
        <v>110</v>
      </c>
      <c r="F4" t="s">
        <v>113</v>
      </c>
    </row>
    <row r="5" spans="1:6" x14ac:dyDescent="0.25">
      <c r="A5" t="s">
        <v>96</v>
      </c>
      <c r="B5" s="125">
        <v>30177</v>
      </c>
      <c r="C5" t="s">
        <v>73</v>
      </c>
      <c r="D5" s="33">
        <v>10162088.8333333</v>
      </c>
      <c r="E5" t="s">
        <v>112</v>
      </c>
      <c r="F5" t="s">
        <v>114</v>
      </c>
    </row>
    <row r="6" spans="1:6" x14ac:dyDescent="0.25">
      <c r="A6" t="s">
        <v>115</v>
      </c>
      <c r="B6" s="125">
        <v>28370</v>
      </c>
      <c r="C6" t="s">
        <v>79</v>
      </c>
      <c r="D6" s="33">
        <v>86933828</v>
      </c>
      <c r="E6" s="125" t="s">
        <v>116</v>
      </c>
      <c r="F6" t="s">
        <v>117</v>
      </c>
    </row>
    <row r="7" spans="1:6" x14ac:dyDescent="0.25">
      <c r="A7" t="s">
        <v>118</v>
      </c>
      <c r="B7" s="125">
        <v>30049</v>
      </c>
      <c r="C7" t="s">
        <v>79</v>
      </c>
      <c r="D7" s="33">
        <v>10032710.8333333</v>
      </c>
      <c r="E7" s="125" t="s">
        <v>74</v>
      </c>
      <c r="F7" t="s">
        <v>119</v>
      </c>
    </row>
    <row r="8" spans="1:6" x14ac:dyDescent="0.25">
      <c r="A8" t="s">
        <v>120</v>
      </c>
      <c r="B8" s="125">
        <v>31534</v>
      </c>
      <c r="C8" t="s">
        <v>79</v>
      </c>
      <c r="D8" s="33">
        <v>4272939</v>
      </c>
      <c r="E8" t="s">
        <v>116</v>
      </c>
      <c r="F8" t="s">
        <v>114</v>
      </c>
    </row>
    <row r="9" spans="1:6" x14ac:dyDescent="0.25">
      <c r="A9" t="s">
        <v>121</v>
      </c>
      <c r="B9" s="125">
        <v>30349</v>
      </c>
      <c r="C9" t="s">
        <v>79</v>
      </c>
      <c r="D9" s="33">
        <v>22960612</v>
      </c>
      <c r="E9" t="s">
        <v>112</v>
      </c>
      <c r="F9" t="s">
        <v>111</v>
      </c>
    </row>
    <row r="10" spans="1:6" x14ac:dyDescent="0.25">
      <c r="A10" t="s">
        <v>122</v>
      </c>
      <c r="B10" s="125">
        <v>23225</v>
      </c>
      <c r="C10" s="35" t="s">
        <v>73</v>
      </c>
      <c r="D10" s="33">
        <v>4715759</v>
      </c>
      <c r="E10" t="s">
        <v>110</v>
      </c>
      <c r="F10" t="s">
        <v>119</v>
      </c>
    </row>
    <row r="11" spans="1:6" x14ac:dyDescent="0.25">
      <c r="A11" t="s">
        <v>123</v>
      </c>
      <c r="B11" s="125">
        <v>32722</v>
      </c>
      <c r="C11" t="s">
        <v>79</v>
      </c>
      <c r="D11" s="33">
        <v>20798946</v>
      </c>
      <c r="E11" t="s">
        <v>74</v>
      </c>
      <c r="F11" t="s">
        <v>119</v>
      </c>
    </row>
    <row r="12" spans="1:6" x14ac:dyDescent="0.25">
      <c r="A12" t="s">
        <v>124</v>
      </c>
      <c r="B12" s="125">
        <v>27581</v>
      </c>
      <c r="C12" t="s">
        <v>73</v>
      </c>
      <c r="D12" s="33">
        <v>93120707</v>
      </c>
      <c r="E12" s="125" t="s">
        <v>116</v>
      </c>
      <c r="F12" t="s">
        <v>114</v>
      </c>
    </row>
    <row r="13" spans="1:6" x14ac:dyDescent="0.25">
      <c r="A13" t="s">
        <v>125</v>
      </c>
      <c r="B13" s="125">
        <v>30241</v>
      </c>
      <c r="C13" t="s">
        <v>73</v>
      </c>
      <c r="D13" s="33">
        <v>5226777.8333333004</v>
      </c>
      <c r="E13" t="s">
        <v>116</v>
      </c>
      <c r="F13" t="s">
        <v>117</v>
      </c>
    </row>
    <row r="14" spans="1:6" x14ac:dyDescent="0.25">
      <c r="A14" t="s">
        <v>126</v>
      </c>
      <c r="B14" s="125">
        <v>32326</v>
      </c>
      <c r="C14" t="s">
        <v>79</v>
      </c>
      <c r="D14" s="33">
        <v>17883688</v>
      </c>
      <c r="E14" t="s">
        <v>74</v>
      </c>
      <c r="F14" t="s">
        <v>117</v>
      </c>
    </row>
    <row r="15" spans="1:6" x14ac:dyDescent="0.25">
      <c r="A15" t="s">
        <v>127</v>
      </c>
      <c r="B15" s="125">
        <v>33122</v>
      </c>
      <c r="C15" t="s">
        <v>79</v>
      </c>
      <c r="D15" s="33">
        <v>57168817</v>
      </c>
      <c r="E15" t="s">
        <v>74</v>
      </c>
      <c r="F15" t="s">
        <v>111</v>
      </c>
    </row>
    <row r="16" spans="1:6" x14ac:dyDescent="0.25">
      <c r="A16" t="s">
        <v>128</v>
      </c>
      <c r="B16" s="125">
        <v>23622</v>
      </c>
      <c r="C16" t="s">
        <v>73</v>
      </c>
      <c r="D16" s="33">
        <v>5237064</v>
      </c>
      <c r="E16" t="s">
        <v>110</v>
      </c>
      <c r="F16" t="s">
        <v>113</v>
      </c>
    </row>
    <row r="17" spans="1:6" x14ac:dyDescent="0.25">
      <c r="A17" t="s">
        <v>129</v>
      </c>
      <c r="B17" s="125">
        <v>29957</v>
      </c>
      <c r="C17" t="s">
        <v>73</v>
      </c>
      <c r="D17" s="33">
        <v>17686079</v>
      </c>
      <c r="E17" t="s">
        <v>74</v>
      </c>
      <c r="F17" t="s">
        <v>113</v>
      </c>
    </row>
    <row r="18" spans="1:6" x14ac:dyDescent="0.25">
      <c r="A18" t="s">
        <v>130</v>
      </c>
      <c r="B18" s="125">
        <v>33914</v>
      </c>
      <c r="C18" t="s">
        <v>73</v>
      </c>
      <c r="D18" s="33">
        <v>8931358</v>
      </c>
      <c r="E18" s="125" t="s">
        <v>116</v>
      </c>
      <c r="F18" t="s">
        <v>114</v>
      </c>
    </row>
    <row r="19" spans="1:6" x14ac:dyDescent="0.25">
      <c r="A19" t="s">
        <v>131</v>
      </c>
      <c r="B19" s="125">
        <v>31930</v>
      </c>
      <c r="C19" t="s">
        <v>79</v>
      </c>
      <c r="D19" s="33">
        <v>69849461</v>
      </c>
      <c r="E19" t="s">
        <v>110</v>
      </c>
      <c r="F19" t="s">
        <v>117</v>
      </c>
    </row>
    <row r="20" spans="1:6" x14ac:dyDescent="0.25">
      <c r="A20" t="s">
        <v>132</v>
      </c>
      <c r="B20" s="125">
        <v>26790</v>
      </c>
      <c r="C20" t="s">
        <v>79</v>
      </c>
      <c r="D20" s="33">
        <v>73957858</v>
      </c>
      <c r="E20" t="s">
        <v>74</v>
      </c>
      <c r="F20" t="s">
        <v>119</v>
      </c>
    </row>
    <row r="21" spans="1:6" x14ac:dyDescent="0.25">
      <c r="A21" t="s">
        <v>133</v>
      </c>
      <c r="B21" s="125">
        <v>30273</v>
      </c>
      <c r="C21" t="s">
        <v>73</v>
      </c>
      <c r="D21" s="33">
        <v>17759122.333333299</v>
      </c>
      <c r="E21" t="s">
        <v>110</v>
      </c>
      <c r="F21" t="s">
        <v>114</v>
      </c>
    </row>
    <row r="22" spans="1:6" x14ac:dyDescent="0.25">
      <c r="A22" t="s">
        <v>134</v>
      </c>
      <c r="B22" s="125">
        <v>29953</v>
      </c>
      <c r="C22" t="s">
        <v>79</v>
      </c>
      <c r="D22" s="33">
        <v>12435677.3333333</v>
      </c>
      <c r="E22" t="s">
        <v>116</v>
      </c>
      <c r="F22" t="s">
        <v>111</v>
      </c>
    </row>
    <row r="23" spans="1:6" x14ac:dyDescent="0.25">
      <c r="A23" t="s">
        <v>135</v>
      </c>
      <c r="B23" s="125">
        <v>25209</v>
      </c>
      <c r="C23" t="s">
        <v>73</v>
      </c>
      <c r="D23" s="33">
        <v>74498526</v>
      </c>
      <c r="E23" t="s">
        <v>74</v>
      </c>
      <c r="F23" t="s">
        <v>119</v>
      </c>
    </row>
    <row r="24" spans="1:6" x14ac:dyDescent="0.25">
      <c r="A24" t="s">
        <v>136</v>
      </c>
      <c r="B24" s="125">
        <v>33513</v>
      </c>
      <c r="C24" t="s">
        <v>79</v>
      </c>
      <c r="D24" s="33">
        <v>48440628</v>
      </c>
      <c r="E24" t="s">
        <v>74</v>
      </c>
      <c r="F24" t="s">
        <v>119</v>
      </c>
    </row>
    <row r="25" spans="1:6" x14ac:dyDescent="0.25">
      <c r="A25" t="s">
        <v>137</v>
      </c>
      <c r="B25" s="125">
        <v>27974</v>
      </c>
      <c r="C25" t="s">
        <v>73</v>
      </c>
      <c r="D25" s="33">
        <v>70689269</v>
      </c>
      <c r="E25" t="s">
        <v>110</v>
      </c>
      <c r="F25" t="s">
        <v>114</v>
      </c>
    </row>
    <row r="26" spans="1:6" x14ac:dyDescent="0.25">
      <c r="A26" t="s">
        <v>138</v>
      </c>
      <c r="B26" s="125">
        <v>34701</v>
      </c>
      <c r="C26" t="s">
        <v>79</v>
      </c>
      <c r="D26" s="33">
        <v>91328653</v>
      </c>
      <c r="E26" s="125" t="s">
        <v>116</v>
      </c>
      <c r="F26" t="s">
        <v>117</v>
      </c>
    </row>
    <row r="27" spans="1:6" x14ac:dyDescent="0.25">
      <c r="A27" t="s">
        <v>139</v>
      </c>
      <c r="B27" s="125">
        <v>29313</v>
      </c>
      <c r="C27" t="s">
        <v>79</v>
      </c>
      <c r="D27" s="33">
        <v>48236101</v>
      </c>
      <c r="E27" t="s">
        <v>112</v>
      </c>
      <c r="F27" t="s">
        <v>117</v>
      </c>
    </row>
    <row r="28" spans="1:6" x14ac:dyDescent="0.25">
      <c r="A28" t="s">
        <v>140</v>
      </c>
      <c r="B28" s="125">
        <v>29825</v>
      </c>
      <c r="C28" t="s">
        <v>79</v>
      </c>
      <c r="D28" s="33">
        <v>2165487</v>
      </c>
      <c r="E28" t="s">
        <v>110</v>
      </c>
      <c r="F28" t="s">
        <v>111</v>
      </c>
    </row>
    <row r="29" spans="1:6" x14ac:dyDescent="0.25">
      <c r="A29" t="s">
        <v>141</v>
      </c>
      <c r="B29" s="125">
        <v>29601</v>
      </c>
      <c r="C29" t="s">
        <v>73</v>
      </c>
      <c r="D29" s="33">
        <v>6213548</v>
      </c>
      <c r="E29" t="s">
        <v>112</v>
      </c>
      <c r="F29" t="s">
        <v>113</v>
      </c>
    </row>
    <row r="30" spans="1:6" x14ac:dyDescent="0.25">
      <c r="A30" t="s">
        <v>142</v>
      </c>
      <c r="B30" s="125">
        <v>29985</v>
      </c>
      <c r="C30" t="s">
        <v>79</v>
      </c>
      <c r="D30" s="33">
        <v>14968021.8333333</v>
      </c>
      <c r="E30" t="s">
        <v>110</v>
      </c>
      <c r="F30" t="s">
        <v>113</v>
      </c>
    </row>
    <row r="31" spans="1:6" x14ac:dyDescent="0.25">
      <c r="A31" t="s">
        <v>143</v>
      </c>
      <c r="B31" s="125">
        <v>29921</v>
      </c>
      <c r="C31" t="s">
        <v>73</v>
      </c>
      <c r="D31" s="33">
        <v>8763210</v>
      </c>
      <c r="E31" t="s">
        <v>74</v>
      </c>
      <c r="F31" t="s">
        <v>114</v>
      </c>
    </row>
    <row r="32" spans="1:6" x14ac:dyDescent="0.25">
      <c r="A32" t="s">
        <v>144</v>
      </c>
      <c r="B32" s="125">
        <v>36282</v>
      </c>
      <c r="C32" t="s">
        <v>79</v>
      </c>
      <c r="D32" s="33">
        <v>71781374</v>
      </c>
      <c r="E32" t="s">
        <v>110</v>
      </c>
      <c r="F32" t="s">
        <v>117</v>
      </c>
    </row>
    <row r="33" spans="1:6" x14ac:dyDescent="0.25">
      <c r="A33" t="s">
        <v>145</v>
      </c>
      <c r="B33" s="125">
        <v>29953</v>
      </c>
      <c r="C33" t="s">
        <v>73</v>
      </c>
      <c r="D33" s="33">
        <v>56097639</v>
      </c>
      <c r="E33" t="s">
        <v>110</v>
      </c>
      <c r="F33" t="s">
        <v>119</v>
      </c>
    </row>
    <row r="34" spans="1:6" x14ac:dyDescent="0.25">
      <c r="A34" t="s">
        <v>146</v>
      </c>
      <c r="B34" s="125">
        <v>25994</v>
      </c>
      <c r="C34" t="s">
        <v>79</v>
      </c>
      <c r="D34" s="33">
        <v>42561176</v>
      </c>
      <c r="E34" t="s">
        <v>74</v>
      </c>
      <c r="F34" t="s">
        <v>114</v>
      </c>
    </row>
    <row r="35" spans="1:6" x14ac:dyDescent="0.25">
      <c r="A35" t="s">
        <v>147</v>
      </c>
      <c r="B35" s="125">
        <v>34305</v>
      </c>
      <c r="C35" t="s">
        <v>79</v>
      </c>
      <c r="D35" s="33">
        <v>96689363</v>
      </c>
      <c r="E35" t="s">
        <v>110</v>
      </c>
      <c r="F35" t="s">
        <v>111</v>
      </c>
    </row>
    <row r="36" spans="1:6" x14ac:dyDescent="0.25">
      <c r="A36" t="s">
        <v>148</v>
      </c>
      <c r="B36" s="125">
        <v>27186</v>
      </c>
      <c r="C36" t="s">
        <v>73</v>
      </c>
      <c r="D36" s="33">
        <v>50922293</v>
      </c>
      <c r="E36" t="s">
        <v>110</v>
      </c>
      <c r="F36" t="s">
        <v>119</v>
      </c>
    </row>
    <row r="37" spans="1:6" x14ac:dyDescent="0.25">
      <c r="A37" t="s">
        <v>149</v>
      </c>
      <c r="B37" s="125">
        <v>29165</v>
      </c>
      <c r="C37" t="s">
        <v>79</v>
      </c>
      <c r="D37" s="33">
        <v>59150323</v>
      </c>
      <c r="E37" t="s">
        <v>110</v>
      </c>
      <c r="F37" t="s">
        <v>119</v>
      </c>
    </row>
    <row r="38" spans="1:6" x14ac:dyDescent="0.25">
      <c r="A38" t="s">
        <v>150</v>
      </c>
      <c r="B38" s="125">
        <v>24812</v>
      </c>
      <c r="C38" t="s">
        <v>73</v>
      </c>
      <c r="D38" s="33">
        <v>73102306</v>
      </c>
      <c r="E38" t="s">
        <v>110</v>
      </c>
      <c r="F38" t="s">
        <v>114</v>
      </c>
    </row>
    <row r="39" spans="1:6" x14ac:dyDescent="0.25">
      <c r="A39" t="s">
        <v>151</v>
      </c>
      <c r="B39" s="125">
        <v>35491</v>
      </c>
      <c r="C39" t="s">
        <v>79</v>
      </c>
      <c r="D39" s="33">
        <v>44618711</v>
      </c>
      <c r="E39" s="125" t="s">
        <v>112</v>
      </c>
      <c r="F39" t="s">
        <v>117</v>
      </c>
    </row>
    <row r="40" spans="1:6" x14ac:dyDescent="0.25">
      <c r="A40" t="s">
        <v>152</v>
      </c>
      <c r="B40" s="125">
        <v>33118</v>
      </c>
      <c r="C40" t="s">
        <v>79</v>
      </c>
      <c r="D40" s="33">
        <v>64429411</v>
      </c>
      <c r="E40" t="s">
        <v>74</v>
      </c>
      <c r="F40" t="s">
        <v>117</v>
      </c>
    </row>
    <row r="41" spans="1:6" x14ac:dyDescent="0.25">
      <c r="A41" t="s">
        <v>153</v>
      </c>
      <c r="B41" s="125">
        <v>33910</v>
      </c>
      <c r="C41" t="s">
        <v>79</v>
      </c>
      <c r="D41" s="33">
        <v>21963277</v>
      </c>
      <c r="E41" t="s">
        <v>74</v>
      </c>
      <c r="F41" t="s">
        <v>111</v>
      </c>
    </row>
    <row r="42" spans="1:6" x14ac:dyDescent="0.25">
      <c r="A42" t="s">
        <v>154</v>
      </c>
      <c r="B42" s="125">
        <v>29665</v>
      </c>
      <c r="C42" t="s">
        <v>73</v>
      </c>
      <c r="D42" s="33">
        <v>3025418</v>
      </c>
      <c r="E42" t="s">
        <v>116</v>
      </c>
      <c r="F42" t="s">
        <v>113</v>
      </c>
    </row>
    <row r="43" spans="1:6" x14ac:dyDescent="0.25">
      <c r="A43" t="s">
        <v>155</v>
      </c>
      <c r="B43" s="125">
        <v>29889</v>
      </c>
      <c r="C43" t="s">
        <v>73</v>
      </c>
      <c r="D43" s="33">
        <v>9651234</v>
      </c>
      <c r="E43" t="s">
        <v>112</v>
      </c>
      <c r="F43" t="s">
        <v>113</v>
      </c>
    </row>
    <row r="44" spans="1:6" x14ac:dyDescent="0.25">
      <c r="A44" t="s">
        <v>156</v>
      </c>
      <c r="B44" s="125">
        <v>26395</v>
      </c>
      <c r="C44" t="s">
        <v>73</v>
      </c>
      <c r="D44" s="33">
        <v>76272764</v>
      </c>
      <c r="E44" t="s">
        <v>74</v>
      </c>
      <c r="F44" t="s">
        <v>114</v>
      </c>
    </row>
    <row r="45" spans="1:6" x14ac:dyDescent="0.25">
      <c r="A45" t="s">
        <v>157</v>
      </c>
      <c r="B45" s="125">
        <v>36679</v>
      </c>
      <c r="C45" t="s">
        <v>73</v>
      </c>
      <c r="D45" s="33">
        <v>87604951</v>
      </c>
      <c r="E45" t="s">
        <v>112</v>
      </c>
      <c r="F45" t="s">
        <v>117</v>
      </c>
    </row>
    <row r="46" spans="1:6" x14ac:dyDescent="0.25">
      <c r="A46" t="s">
        <v>158</v>
      </c>
      <c r="B46" s="125">
        <v>31139</v>
      </c>
      <c r="C46" t="s">
        <v>73</v>
      </c>
      <c r="D46" s="33">
        <v>56135847</v>
      </c>
      <c r="E46" t="s">
        <v>116</v>
      </c>
      <c r="F46" t="s">
        <v>119</v>
      </c>
    </row>
    <row r="47" spans="1:6" x14ac:dyDescent="0.25">
      <c r="A47" t="s">
        <v>159</v>
      </c>
      <c r="B47" s="125">
        <v>24417</v>
      </c>
      <c r="C47" t="s">
        <v>79</v>
      </c>
      <c r="D47" s="33">
        <v>49570444</v>
      </c>
      <c r="E47" t="s">
        <v>116</v>
      </c>
      <c r="F47" t="s">
        <v>114</v>
      </c>
    </row>
    <row r="48" spans="1:6" x14ac:dyDescent="0.25">
      <c r="A48" t="s">
        <v>160</v>
      </c>
      <c r="B48" s="125">
        <v>29729</v>
      </c>
      <c r="C48" t="s">
        <v>79</v>
      </c>
      <c r="D48" s="33">
        <v>9664423</v>
      </c>
      <c r="E48" s="125" t="s">
        <v>116</v>
      </c>
      <c r="F48" t="s">
        <v>111</v>
      </c>
    </row>
    <row r="49" spans="1:6" x14ac:dyDescent="0.25">
      <c r="A49" t="s">
        <v>161</v>
      </c>
      <c r="B49" s="125">
        <v>24021</v>
      </c>
      <c r="C49" t="s">
        <v>79</v>
      </c>
      <c r="D49" s="33">
        <v>11461754</v>
      </c>
      <c r="E49" t="s">
        <v>116</v>
      </c>
      <c r="F49" t="s">
        <v>119</v>
      </c>
    </row>
    <row r="50" spans="1:6" x14ac:dyDescent="0.25">
      <c r="A50" t="s">
        <v>162</v>
      </c>
      <c r="B50" s="125">
        <v>26786</v>
      </c>
      <c r="C50" t="s">
        <v>79</v>
      </c>
      <c r="D50" s="33">
        <v>59095180</v>
      </c>
      <c r="E50" t="s">
        <v>74</v>
      </c>
      <c r="F50" t="s">
        <v>119</v>
      </c>
    </row>
    <row r="51" spans="1:6" x14ac:dyDescent="0.25">
      <c r="A51" t="s">
        <v>163</v>
      </c>
      <c r="B51" s="125">
        <v>35097</v>
      </c>
      <c r="C51" t="s">
        <v>73</v>
      </c>
      <c r="D51" s="33">
        <v>30332533</v>
      </c>
      <c r="E51" s="125" t="s">
        <v>74</v>
      </c>
      <c r="F51" t="s">
        <v>114</v>
      </c>
    </row>
    <row r="52" spans="1:6" x14ac:dyDescent="0.25">
      <c r="A52" t="s">
        <v>164</v>
      </c>
      <c r="B52" s="125">
        <v>25205</v>
      </c>
      <c r="C52" t="s">
        <v>73</v>
      </c>
      <c r="D52" s="33">
        <v>78319843</v>
      </c>
      <c r="E52" t="s">
        <v>116</v>
      </c>
      <c r="F52" t="s">
        <v>117</v>
      </c>
    </row>
    <row r="53" spans="1:6" x14ac:dyDescent="0.25">
      <c r="A53" t="s">
        <v>165</v>
      </c>
      <c r="B53" s="125">
        <v>29161</v>
      </c>
      <c r="C53" t="s">
        <v>73</v>
      </c>
      <c r="D53" s="33">
        <v>66162838</v>
      </c>
      <c r="E53" s="125" t="s">
        <v>112</v>
      </c>
      <c r="F53" t="s">
        <v>117</v>
      </c>
    </row>
    <row r="54" spans="1:6" x14ac:dyDescent="0.25">
      <c r="A54" t="s">
        <v>166</v>
      </c>
      <c r="B54" s="125">
        <v>30145</v>
      </c>
      <c r="C54" t="s">
        <v>79</v>
      </c>
      <c r="D54" s="33">
        <v>17629744.333333299</v>
      </c>
      <c r="E54" t="s">
        <v>110</v>
      </c>
      <c r="F54" t="s">
        <v>111</v>
      </c>
    </row>
    <row r="55" spans="1:6" x14ac:dyDescent="0.25">
      <c r="A55" t="s">
        <v>167</v>
      </c>
      <c r="B55" s="125">
        <v>32330</v>
      </c>
      <c r="C55" t="s">
        <v>73</v>
      </c>
      <c r="D55" s="33">
        <v>36464052</v>
      </c>
      <c r="E55" t="s">
        <v>74</v>
      </c>
      <c r="F55" t="s">
        <v>113</v>
      </c>
    </row>
    <row r="56" spans="1:6" x14ac:dyDescent="0.25">
      <c r="A56" t="s">
        <v>168</v>
      </c>
      <c r="B56" s="125">
        <v>29409</v>
      </c>
      <c r="C56" t="s">
        <v>79</v>
      </c>
      <c r="D56" s="33">
        <v>50000000</v>
      </c>
      <c r="E56" t="s">
        <v>110</v>
      </c>
      <c r="F56" t="s">
        <v>113</v>
      </c>
    </row>
    <row r="57" spans="1:6" x14ac:dyDescent="0.25">
      <c r="A57" t="s">
        <v>169</v>
      </c>
      <c r="B57" s="125">
        <v>29377</v>
      </c>
      <c r="C57" t="s">
        <v>73</v>
      </c>
      <c r="D57" s="33">
        <v>53126282</v>
      </c>
      <c r="E57" t="s">
        <v>116</v>
      </c>
      <c r="F57" t="s">
        <v>114</v>
      </c>
    </row>
    <row r="58" spans="1:6" x14ac:dyDescent="0.25">
      <c r="A58" t="s">
        <v>170</v>
      </c>
      <c r="B58" s="125">
        <v>28769</v>
      </c>
      <c r="C58" t="s">
        <v>79</v>
      </c>
      <c r="D58" s="33">
        <v>32523307</v>
      </c>
      <c r="E58" t="s">
        <v>110</v>
      </c>
      <c r="F58" t="s">
        <v>117</v>
      </c>
    </row>
    <row r="59" spans="1:6" x14ac:dyDescent="0.25">
      <c r="A59" t="s">
        <v>171</v>
      </c>
      <c r="B59" s="125">
        <v>27182</v>
      </c>
      <c r="C59" t="s">
        <v>79</v>
      </c>
      <c r="D59" s="33">
        <v>98858401</v>
      </c>
      <c r="E59" t="s">
        <v>74</v>
      </c>
      <c r="F59" t="s">
        <v>119</v>
      </c>
    </row>
    <row r="60" spans="1:6" x14ac:dyDescent="0.25">
      <c r="A60" t="s">
        <v>172</v>
      </c>
      <c r="B60" s="125">
        <v>34309</v>
      </c>
      <c r="C60" t="s">
        <v>73</v>
      </c>
      <c r="D60" s="33">
        <v>18200486</v>
      </c>
      <c r="E60" s="125" t="s">
        <v>74</v>
      </c>
      <c r="F60" t="s">
        <v>114</v>
      </c>
    </row>
    <row r="61" spans="1:6" x14ac:dyDescent="0.25">
      <c r="A61" t="s">
        <v>173</v>
      </c>
      <c r="B61" s="125">
        <v>29569</v>
      </c>
      <c r="C61" t="s">
        <v>73</v>
      </c>
      <c r="D61" s="33">
        <v>9552361</v>
      </c>
      <c r="E61" t="s">
        <v>110</v>
      </c>
      <c r="F61" t="s">
        <v>111</v>
      </c>
    </row>
    <row r="62" spans="1:6" x14ac:dyDescent="0.25">
      <c r="A62" t="s">
        <v>174</v>
      </c>
      <c r="B62" s="125">
        <v>29441</v>
      </c>
      <c r="C62" t="s">
        <v>73</v>
      </c>
      <c r="D62" s="33">
        <v>5600001</v>
      </c>
      <c r="E62" s="125" t="s">
        <v>116</v>
      </c>
      <c r="F62" t="s">
        <v>119</v>
      </c>
    </row>
    <row r="63" spans="1:6" x14ac:dyDescent="0.25">
      <c r="A63" t="s">
        <v>175</v>
      </c>
      <c r="B63" s="125">
        <v>26391</v>
      </c>
      <c r="C63" t="s">
        <v>79</v>
      </c>
      <c r="D63" s="33">
        <v>70162145</v>
      </c>
      <c r="E63" t="s">
        <v>74</v>
      </c>
      <c r="F63" t="s">
        <v>119</v>
      </c>
    </row>
    <row r="64" spans="1:6" x14ac:dyDescent="0.25">
      <c r="A64" t="s">
        <v>176</v>
      </c>
      <c r="B64" s="125">
        <v>22038</v>
      </c>
      <c r="C64" t="s">
        <v>79</v>
      </c>
      <c r="D64" s="33">
        <v>84870104</v>
      </c>
      <c r="E64" s="125" t="s">
        <v>116</v>
      </c>
      <c r="F64" t="s">
        <v>114</v>
      </c>
    </row>
    <row r="65" spans="1:6" x14ac:dyDescent="0.25">
      <c r="A65" t="s">
        <v>177</v>
      </c>
      <c r="B65" s="125">
        <v>27978</v>
      </c>
      <c r="C65" t="s">
        <v>73</v>
      </c>
      <c r="D65" s="33">
        <v>22184450</v>
      </c>
      <c r="E65" s="125" t="s">
        <v>74</v>
      </c>
      <c r="F65" t="s">
        <v>117</v>
      </c>
    </row>
    <row r="66" spans="1:6" x14ac:dyDescent="0.25">
      <c r="A66" t="s">
        <v>178</v>
      </c>
      <c r="B66" s="125">
        <v>27577</v>
      </c>
      <c r="C66" t="s">
        <v>79</v>
      </c>
      <c r="D66" s="33">
        <v>51241150</v>
      </c>
      <c r="E66" t="s">
        <v>74</v>
      </c>
      <c r="F66" t="s">
        <v>117</v>
      </c>
    </row>
    <row r="67" spans="1:6" x14ac:dyDescent="0.25">
      <c r="A67" t="s">
        <v>179</v>
      </c>
      <c r="B67" s="125">
        <v>25998</v>
      </c>
      <c r="C67" t="s">
        <v>79</v>
      </c>
      <c r="D67" s="33">
        <v>53930272</v>
      </c>
      <c r="E67" t="s">
        <v>74</v>
      </c>
      <c r="F67" t="s">
        <v>111</v>
      </c>
    </row>
    <row r="68" spans="1:6" x14ac:dyDescent="0.25">
      <c r="A68" t="s">
        <v>180</v>
      </c>
      <c r="B68" s="125">
        <v>30081</v>
      </c>
      <c r="C68" t="s">
        <v>79</v>
      </c>
      <c r="D68" s="33">
        <v>12565055.3333333</v>
      </c>
      <c r="E68" s="125" t="s">
        <v>112</v>
      </c>
      <c r="F68" t="s">
        <v>113</v>
      </c>
    </row>
    <row r="69" spans="1:6" x14ac:dyDescent="0.25">
      <c r="A69" t="s">
        <v>181</v>
      </c>
      <c r="B69" s="125">
        <v>29557</v>
      </c>
      <c r="C69" t="s">
        <v>79</v>
      </c>
      <c r="D69" s="33">
        <v>44985175</v>
      </c>
      <c r="E69" t="s">
        <v>110</v>
      </c>
      <c r="F69" t="s">
        <v>113</v>
      </c>
    </row>
    <row r="70" spans="1:6" x14ac:dyDescent="0.25">
      <c r="A70" t="s">
        <v>182</v>
      </c>
      <c r="B70" s="125">
        <v>29857</v>
      </c>
      <c r="C70" t="s">
        <v>79</v>
      </c>
      <c r="D70" s="33">
        <v>3698521</v>
      </c>
      <c r="E70" t="s">
        <v>110</v>
      </c>
      <c r="F70" t="s">
        <v>114</v>
      </c>
    </row>
    <row r="71" spans="1:6" x14ac:dyDescent="0.25">
      <c r="A71" t="s">
        <v>183</v>
      </c>
      <c r="B71" s="125">
        <v>22434</v>
      </c>
      <c r="C71" t="s">
        <v>73</v>
      </c>
      <c r="D71" s="33">
        <v>68054511</v>
      </c>
      <c r="E71" s="125" t="s">
        <v>74</v>
      </c>
      <c r="F71" t="s">
        <v>117</v>
      </c>
    </row>
    <row r="72" spans="1:6" x14ac:dyDescent="0.25">
      <c r="A72" t="s">
        <v>184</v>
      </c>
      <c r="B72" s="125">
        <v>24413</v>
      </c>
      <c r="C72" t="s">
        <v>73</v>
      </c>
      <c r="D72" s="33">
        <v>84545336</v>
      </c>
      <c r="E72" t="s">
        <v>74</v>
      </c>
      <c r="F72" t="s">
        <v>119</v>
      </c>
    </row>
    <row r="73" spans="1:6" x14ac:dyDescent="0.25">
      <c r="A73" t="s">
        <v>185</v>
      </c>
      <c r="B73" s="125">
        <v>33517</v>
      </c>
      <c r="C73" t="s">
        <v>73</v>
      </c>
      <c r="D73" s="33">
        <v>71036219</v>
      </c>
      <c r="E73" t="s">
        <v>110</v>
      </c>
      <c r="F73" t="s">
        <v>114</v>
      </c>
    </row>
    <row r="74" spans="1:6" x14ac:dyDescent="0.25">
      <c r="A74" t="s">
        <v>186</v>
      </c>
      <c r="B74" s="125">
        <v>24017</v>
      </c>
      <c r="C74" t="s">
        <v>73</v>
      </c>
      <c r="D74" s="33">
        <v>38666520</v>
      </c>
      <c r="E74" t="s">
        <v>112</v>
      </c>
      <c r="F74" t="s">
        <v>111</v>
      </c>
    </row>
    <row r="75" spans="1:6" x14ac:dyDescent="0.25">
      <c r="A75" t="s">
        <v>187</v>
      </c>
      <c r="B75" s="125">
        <v>22829</v>
      </c>
      <c r="C75" t="s">
        <v>73</v>
      </c>
      <c r="D75" s="33">
        <v>79047807</v>
      </c>
      <c r="E75" s="125" t="s">
        <v>112</v>
      </c>
      <c r="F75" t="s">
        <v>119</v>
      </c>
    </row>
    <row r="76" spans="1:6" x14ac:dyDescent="0.25">
      <c r="A76" t="s">
        <v>188</v>
      </c>
      <c r="B76" s="125">
        <v>24808</v>
      </c>
      <c r="C76" t="s">
        <v>73</v>
      </c>
      <c r="D76" s="33">
        <v>10736561</v>
      </c>
      <c r="E76" t="s">
        <v>116</v>
      </c>
      <c r="F76" t="s">
        <v>119</v>
      </c>
    </row>
    <row r="77" spans="1:6" x14ac:dyDescent="0.25">
      <c r="A77" t="s">
        <v>189</v>
      </c>
      <c r="B77" s="125">
        <v>29505</v>
      </c>
      <c r="C77" t="s">
        <v>73</v>
      </c>
      <c r="D77" s="33">
        <v>7891563</v>
      </c>
      <c r="E77" s="125" t="s">
        <v>112</v>
      </c>
      <c r="F77" t="s">
        <v>114</v>
      </c>
    </row>
    <row r="78" spans="1:6" x14ac:dyDescent="0.25">
      <c r="A78" t="s">
        <v>190</v>
      </c>
      <c r="B78" s="125">
        <v>30743</v>
      </c>
      <c r="C78" t="s">
        <v>73</v>
      </c>
      <c r="D78" s="33">
        <v>83141816</v>
      </c>
      <c r="E78" t="s">
        <v>74</v>
      </c>
      <c r="F78" t="s">
        <v>117</v>
      </c>
    </row>
    <row r="79" spans="1:6" x14ac:dyDescent="0.25">
      <c r="A79" t="s">
        <v>191</v>
      </c>
      <c r="B79" s="125">
        <v>30017</v>
      </c>
      <c r="C79" t="s">
        <v>73</v>
      </c>
      <c r="D79" s="33">
        <v>17500366.333333299</v>
      </c>
      <c r="E79" s="125" t="s">
        <v>116</v>
      </c>
      <c r="F79" t="s">
        <v>117</v>
      </c>
    </row>
    <row r="80" spans="1:6" x14ac:dyDescent="0.25">
      <c r="A80" t="s">
        <v>192</v>
      </c>
      <c r="B80" s="125">
        <v>29633</v>
      </c>
      <c r="C80" t="s">
        <v>73</v>
      </c>
      <c r="D80" s="33">
        <v>9035214</v>
      </c>
      <c r="E80" t="s">
        <v>74</v>
      </c>
      <c r="F80" t="s">
        <v>111</v>
      </c>
    </row>
    <row r="81" spans="1:6" x14ac:dyDescent="0.25">
      <c r="A81" t="s">
        <v>193</v>
      </c>
      <c r="B81" s="125">
        <v>31934</v>
      </c>
      <c r="C81" t="s">
        <v>79</v>
      </c>
      <c r="D81" s="33">
        <v>31745609</v>
      </c>
      <c r="E81" t="s">
        <v>74</v>
      </c>
      <c r="F81" t="s">
        <v>113</v>
      </c>
    </row>
    <row r="82" spans="1:6" x14ac:dyDescent="0.25">
      <c r="A82" t="s">
        <v>194</v>
      </c>
      <c r="B82" s="125">
        <v>32726</v>
      </c>
      <c r="C82" t="s">
        <v>73</v>
      </c>
      <c r="D82" s="33">
        <v>21249756</v>
      </c>
      <c r="E82" t="s">
        <v>74</v>
      </c>
      <c r="F82" t="s">
        <v>113</v>
      </c>
    </row>
    <row r="83" spans="1:6" x14ac:dyDescent="0.25">
      <c r="A83" t="s">
        <v>195</v>
      </c>
      <c r="B83" s="125">
        <v>28765</v>
      </c>
      <c r="C83" t="s">
        <v>73</v>
      </c>
      <c r="D83" s="33">
        <v>30104020</v>
      </c>
      <c r="E83" s="125" t="s">
        <v>74</v>
      </c>
      <c r="F83" t="s">
        <v>114</v>
      </c>
    </row>
    <row r="84" spans="1:6" x14ac:dyDescent="0.25">
      <c r="A84" t="s">
        <v>196</v>
      </c>
      <c r="B84" s="125">
        <v>30209</v>
      </c>
      <c r="C84" t="s">
        <v>73</v>
      </c>
      <c r="D84" s="33">
        <v>12694433.3333333</v>
      </c>
      <c r="E84" t="s">
        <v>74</v>
      </c>
      <c r="F84" t="s">
        <v>117</v>
      </c>
    </row>
    <row r="85" spans="1:6" x14ac:dyDescent="0.25">
      <c r="A85" t="s">
        <v>197</v>
      </c>
      <c r="B85" s="125">
        <v>30747</v>
      </c>
      <c r="C85" t="s">
        <v>79</v>
      </c>
      <c r="D85" s="33">
        <v>51750944</v>
      </c>
      <c r="E85" t="s">
        <v>116</v>
      </c>
      <c r="F85" t="s">
        <v>119</v>
      </c>
    </row>
    <row r="86" spans="1:6" x14ac:dyDescent="0.25">
      <c r="A86" t="s">
        <v>198</v>
      </c>
      <c r="B86" s="125">
        <v>30353</v>
      </c>
      <c r="C86" t="s">
        <v>79</v>
      </c>
      <c r="D86" s="33">
        <v>99235597</v>
      </c>
      <c r="E86" t="s">
        <v>116</v>
      </c>
      <c r="F86" t="s">
        <v>114</v>
      </c>
    </row>
    <row r="87" spans="1:6" x14ac:dyDescent="0.25">
      <c r="A87" t="s">
        <v>199</v>
      </c>
      <c r="B87" s="125">
        <v>28374</v>
      </c>
      <c r="C87" t="s">
        <v>79</v>
      </c>
      <c r="D87" s="33">
        <v>37587445</v>
      </c>
      <c r="E87" s="125" t="s">
        <v>112</v>
      </c>
      <c r="F87" t="s">
        <v>111</v>
      </c>
    </row>
    <row r="88" spans="1:6" x14ac:dyDescent="0.25">
      <c r="A88" t="s">
        <v>200</v>
      </c>
      <c r="B88" s="125">
        <v>31538</v>
      </c>
      <c r="C88" t="s">
        <v>73</v>
      </c>
      <c r="D88" s="33">
        <v>67567132</v>
      </c>
      <c r="E88" t="s">
        <v>74</v>
      </c>
      <c r="F88" t="s">
        <v>119</v>
      </c>
    </row>
    <row r="89" spans="1:6" x14ac:dyDescent="0.25">
      <c r="A89" t="s">
        <v>201</v>
      </c>
      <c r="B89" s="125">
        <v>29281</v>
      </c>
      <c r="C89" t="s">
        <v>79</v>
      </c>
      <c r="D89" s="33">
        <v>50091998</v>
      </c>
      <c r="E89" t="s">
        <v>110</v>
      </c>
      <c r="F89" t="s">
        <v>119</v>
      </c>
    </row>
    <row r="90" spans="1:6" x14ac:dyDescent="0.25">
      <c r="A90" t="s">
        <v>202</v>
      </c>
      <c r="B90" s="125">
        <v>31143</v>
      </c>
      <c r="C90" t="s">
        <v>73</v>
      </c>
      <c r="D90" s="33">
        <v>62432599</v>
      </c>
      <c r="E90" t="s">
        <v>110</v>
      </c>
      <c r="F90" t="s">
        <v>114</v>
      </c>
    </row>
    <row r="91" spans="1:6" x14ac:dyDescent="0.25">
      <c r="A91" t="s">
        <v>203</v>
      </c>
      <c r="B91" s="125">
        <v>29249</v>
      </c>
      <c r="C91" t="s">
        <v>79</v>
      </c>
      <c r="D91" s="33">
        <v>14067984</v>
      </c>
      <c r="E91" t="s">
        <v>110</v>
      </c>
      <c r="F91" t="s">
        <v>117</v>
      </c>
    </row>
    <row r="92" spans="1:6" x14ac:dyDescent="0.25">
      <c r="A92" t="s">
        <v>204</v>
      </c>
      <c r="B92" s="125">
        <v>37074</v>
      </c>
      <c r="C92" t="s">
        <v>73</v>
      </c>
      <c r="D92" s="33">
        <v>87943844</v>
      </c>
      <c r="E92" t="s">
        <v>74</v>
      </c>
      <c r="F92" t="s">
        <v>117</v>
      </c>
    </row>
    <row r="93" spans="1:6" x14ac:dyDescent="0.25">
      <c r="A93" t="s">
        <v>205</v>
      </c>
      <c r="B93" s="125">
        <v>29697</v>
      </c>
      <c r="C93" t="s">
        <v>79</v>
      </c>
      <c r="D93" s="33">
        <v>5462130</v>
      </c>
      <c r="E93" t="s">
        <v>110</v>
      </c>
      <c r="F93" t="s">
        <v>111</v>
      </c>
    </row>
    <row r="94" spans="1:6" x14ac:dyDescent="0.25">
      <c r="A94" t="s">
        <v>206</v>
      </c>
      <c r="B94" s="125">
        <v>29761</v>
      </c>
      <c r="C94" t="s">
        <v>79</v>
      </c>
      <c r="D94" s="33">
        <v>6663254</v>
      </c>
      <c r="E94" s="125" t="s">
        <v>74</v>
      </c>
      <c r="F94" t="s">
        <v>113</v>
      </c>
    </row>
    <row r="95" spans="1:6" x14ac:dyDescent="0.25">
      <c r="A95" t="s">
        <v>207</v>
      </c>
      <c r="B95" s="125">
        <v>34705</v>
      </c>
      <c r="C95" t="s">
        <v>79</v>
      </c>
      <c r="D95" s="33">
        <v>84533876</v>
      </c>
      <c r="E95" s="125" t="s">
        <v>112</v>
      </c>
      <c r="F95" t="s">
        <v>113</v>
      </c>
    </row>
    <row r="96" spans="1:6" x14ac:dyDescent="0.25">
      <c r="A96" t="s">
        <v>208</v>
      </c>
      <c r="B96" s="125">
        <v>25605</v>
      </c>
      <c r="C96" t="s">
        <v>79</v>
      </c>
      <c r="D96" s="33">
        <v>48561740</v>
      </c>
      <c r="E96" t="s">
        <v>74</v>
      </c>
      <c r="F96" t="s">
        <v>114</v>
      </c>
    </row>
    <row r="97" spans="1:6" x14ac:dyDescent="0.25">
      <c r="A97" t="s">
        <v>209</v>
      </c>
      <c r="B97" s="125">
        <v>35887</v>
      </c>
      <c r="C97" t="s">
        <v>73</v>
      </c>
      <c r="D97" s="33">
        <v>20615333</v>
      </c>
      <c r="E97" t="s">
        <v>110</v>
      </c>
      <c r="F97" t="s">
        <v>117</v>
      </c>
    </row>
    <row r="98" spans="1:6" x14ac:dyDescent="0.25">
      <c r="A98" t="s">
        <v>210</v>
      </c>
      <c r="B98" s="125">
        <v>25601</v>
      </c>
      <c r="C98" t="s">
        <v>79</v>
      </c>
      <c r="D98" s="33">
        <v>18484313</v>
      </c>
      <c r="E98" t="s">
        <v>110</v>
      </c>
      <c r="F98" t="s">
        <v>119</v>
      </c>
    </row>
    <row r="99" spans="1:6" x14ac:dyDescent="0.25">
      <c r="A99" t="s">
        <v>211</v>
      </c>
      <c r="B99" s="125">
        <v>29561</v>
      </c>
      <c r="C99" t="s">
        <v>79</v>
      </c>
      <c r="D99" s="33">
        <v>86244793</v>
      </c>
      <c r="E99" t="s">
        <v>112</v>
      </c>
      <c r="F99" t="s">
        <v>114</v>
      </c>
    </row>
    <row r="100" spans="1:6" x14ac:dyDescent="0.25">
      <c r="A100" t="s">
        <v>212</v>
      </c>
      <c r="B100" s="125">
        <v>29473</v>
      </c>
      <c r="C100" t="s">
        <v>73</v>
      </c>
      <c r="D100" s="33">
        <v>9800321</v>
      </c>
      <c r="E100" s="125" t="s">
        <v>74</v>
      </c>
      <c r="F100" t="s">
        <v>111</v>
      </c>
    </row>
    <row r="101" spans="1:6" x14ac:dyDescent="0.25">
      <c r="A101" t="s">
        <v>213</v>
      </c>
      <c r="B101" s="125">
        <v>29345</v>
      </c>
      <c r="C101" t="s">
        <v>73</v>
      </c>
      <c r="D101" s="33">
        <v>23598699</v>
      </c>
      <c r="E101" t="s">
        <v>74</v>
      </c>
      <c r="F101" t="s">
        <v>119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220980</xdr:colOff>
                <xdr:row>3</xdr:row>
                <xdr:rowOff>137160</xdr:rowOff>
              </to>
            </anchor>
          </controlPr>
        </control>
      </mc:Choice>
      <mc:Fallback>
        <control shapeId="819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DD207-ACE1-4355-9B57-463961B5CED5}">
  <sheetPr codeName="Sheet3"/>
  <dimension ref="E7:G15"/>
  <sheetViews>
    <sheetView tabSelected="1" zoomScale="121" workbookViewId="0">
      <selection activeCell="F12" sqref="F12"/>
    </sheetView>
  </sheetViews>
  <sheetFormatPr defaultRowHeight="13.2" x14ac:dyDescent="0.25"/>
  <cols>
    <col min="5" max="5" width="19.88671875" bestFit="1" customWidth="1"/>
    <col min="6" max="6" width="16" customWidth="1"/>
    <col min="7" max="10" width="13.109375" bestFit="1" customWidth="1"/>
  </cols>
  <sheetData>
    <row r="7" spans="5:7" ht="13.8" thickBot="1" x14ac:dyDescent="0.3"/>
    <row r="8" spans="5:7" ht="13.8" thickBot="1" x14ac:dyDescent="0.3">
      <c r="E8" s="195" t="s">
        <v>81</v>
      </c>
      <c r="F8" s="196"/>
    </row>
    <row r="9" spans="5:7" x14ac:dyDescent="0.25">
      <c r="E9" s="40" t="s">
        <v>49</v>
      </c>
      <c r="F9" s="57">
        <v>0.16</v>
      </c>
      <c r="G9" s="113"/>
    </row>
    <row r="10" spans="5:7" x14ac:dyDescent="0.25">
      <c r="E10" s="43" t="s">
        <v>32</v>
      </c>
      <c r="F10" s="58"/>
    </row>
    <row r="11" spans="5:7" x14ac:dyDescent="0.25">
      <c r="E11" s="41" t="s">
        <v>33</v>
      </c>
      <c r="F11" s="59">
        <v>5.0000000000000001E-3</v>
      </c>
    </row>
    <row r="12" spans="5:7" x14ac:dyDescent="0.25">
      <c r="E12" s="41" t="s">
        <v>34</v>
      </c>
      <c r="F12" s="59">
        <v>1.4999999999999999E-2</v>
      </c>
    </row>
    <row r="13" spans="5:7" x14ac:dyDescent="0.25">
      <c r="E13" s="41" t="s">
        <v>35</v>
      </c>
      <c r="F13" s="59">
        <v>0.04</v>
      </c>
    </row>
    <row r="14" spans="5:7" ht="13.8" thickBot="1" x14ac:dyDescent="0.3">
      <c r="E14" s="42" t="s">
        <v>36</v>
      </c>
      <c r="F14" s="60">
        <v>0</v>
      </c>
    </row>
    <row r="15" spans="5:7" x14ac:dyDescent="0.25">
      <c r="F15" s="61"/>
    </row>
  </sheetData>
  <mergeCells count="1">
    <mergeCell ref="E8:F8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62786-9E9E-49DF-9443-B1A9F8C3F0B7}">
  <sheetPr codeName="Sheet9"/>
  <dimension ref="A1:J90"/>
  <sheetViews>
    <sheetView topLeftCell="A45" workbookViewId="0">
      <selection activeCell="F54" sqref="F54"/>
    </sheetView>
  </sheetViews>
  <sheetFormatPr defaultRowHeight="13.2" x14ac:dyDescent="0.25"/>
  <cols>
    <col min="1" max="1" width="17.33203125" style="129" bestFit="1" customWidth="1"/>
    <col min="2" max="2" width="23.109375" style="129" bestFit="1" customWidth="1"/>
    <col min="3" max="3" width="17" style="129" bestFit="1" customWidth="1"/>
    <col min="4" max="4" width="23.109375" style="129" bestFit="1" customWidth="1"/>
    <col min="5" max="5" width="22.6640625" style="129" bestFit="1" customWidth="1"/>
    <col min="6" max="6" width="24.44140625" style="129" bestFit="1" customWidth="1"/>
    <col min="7" max="7" width="18.5546875" style="129" bestFit="1" customWidth="1"/>
    <col min="8" max="9" width="19.109375" style="129" bestFit="1" customWidth="1"/>
    <col min="10" max="10" width="8.88671875" style="129"/>
    <col min="11" max="11" width="13.109375" style="129" bestFit="1" customWidth="1"/>
    <col min="12" max="16384" width="8.88671875" style="129"/>
  </cols>
  <sheetData>
    <row r="1" spans="1:10" ht="13.8" thickBot="1" x14ac:dyDescent="0.3">
      <c r="A1" s="126" t="s">
        <v>57</v>
      </c>
      <c r="B1" s="127" t="s">
        <v>58</v>
      </c>
      <c r="C1" s="127" t="s">
        <v>59</v>
      </c>
      <c r="D1" s="127" t="s">
        <v>60</v>
      </c>
      <c r="E1" s="127" t="s">
        <v>61</v>
      </c>
      <c r="F1" s="127" t="s">
        <v>77</v>
      </c>
      <c r="G1" s="127" t="s">
        <v>78</v>
      </c>
      <c r="H1" s="127" t="s">
        <v>76</v>
      </c>
      <c r="I1" s="128" t="s">
        <v>84</v>
      </c>
    </row>
    <row r="2" spans="1:10" x14ac:dyDescent="0.25">
      <c r="A2" s="130" t="s">
        <v>93</v>
      </c>
      <c r="B2" s="131">
        <v>24788</v>
      </c>
      <c r="C2" s="132">
        <v>56</v>
      </c>
      <c r="D2" s="132" t="s">
        <v>73</v>
      </c>
      <c r="E2" s="133">
        <v>5000000</v>
      </c>
      <c r="F2" s="133">
        <v>57886.480169149349</v>
      </c>
      <c r="G2" s="133">
        <v>56300.091999695091</v>
      </c>
      <c r="H2" s="132" t="s">
        <v>74</v>
      </c>
      <c r="I2" s="134" t="s">
        <v>83</v>
      </c>
    </row>
    <row r="3" spans="1:10" x14ac:dyDescent="0.25">
      <c r="A3" s="130" t="s">
        <v>94</v>
      </c>
      <c r="B3" s="131">
        <v>24788</v>
      </c>
      <c r="C3" s="132">
        <v>56</v>
      </c>
      <c r="D3" s="132" t="s">
        <v>79</v>
      </c>
      <c r="E3" s="133">
        <v>50000000</v>
      </c>
      <c r="F3" s="133">
        <v>578864.80169149349</v>
      </c>
      <c r="G3" s="133">
        <v>563000.91999695089</v>
      </c>
      <c r="H3" s="132" t="s">
        <v>74</v>
      </c>
      <c r="I3" s="134" t="s">
        <v>83</v>
      </c>
    </row>
    <row r="4" spans="1:10" x14ac:dyDescent="0.25">
      <c r="A4" s="130" t="s">
        <v>95</v>
      </c>
      <c r="B4" s="131">
        <v>37418</v>
      </c>
      <c r="C4" s="132">
        <v>21</v>
      </c>
      <c r="D4" s="132" t="s">
        <v>79</v>
      </c>
      <c r="E4" s="133">
        <v>5000000</v>
      </c>
      <c r="F4" s="133">
        <v>51391.160737736587</v>
      </c>
      <c r="G4" s="133">
        <v>51186.220172953814</v>
      </c>
      <c r="H4" s="132" t="s">
        <v>74</v>
      </c>
      <c r="I4" s="134" t="s">
        <v>83</v>
      </c>
    </row>
    <row r="5" spans="1:10" x14ac:dyDescent="0.25">
      <c r="A5" s="130" t="s">
        <v>96</v>
      </c>
      <c r="B5" s="131">
        <v>37418</v>
      </c>
      <c r="C5" s="132">
        <v>21</v>
      </c>
      <c r="D5" s="132" t="s">
        <v>73</v>
      </c>
      <c r="E5" s="133">
        <v>50000000</v>
      </c>
      <c r="F5" s="133">
        <v>513911.60737736593</v>
      </c>
      <c r="G5" s="132">
        <v>511862.20172953815</v>
      </c>
      <c r="H5" s="134" t="s">
        <v>74</v>
      </c>
      <c r="I5" s="129" t="s">
        <v>83</v>
      </c>
    </row>
    <row r="7" spans="1:10" x14ac:dyDescent="0.25">
      <c r="A7" s="130" t="s">
        <v>96</v>
      </c>
      <c r="B7" s="131">
        <v>37418</v>
      </c>
      <c r="C7" s="132">
        <v>21</v>
      </c>
      <c r="D7" s="132" t="s">
        <v>73</v>
      </c>
      <c r="E7" s="133">
        <v>50000000</v>
      </c>
      <c r="F7" s="133">
        <v>513911.60737736593</v>
      </c>
      <c r="G7" s="132">
        <v>511862.20172953815</v>
      </c>
      <c r="H7" s="134" t="s">
        <v>74</v>
      </c>
      <c r="I7" s="129" t="s">
        <v>83</v>
      </c>
    </row>
    <row r="9" spans="1:10" x14ac:dyDescent="0.25">
      <c r="F9" s="129" t="s">
        <v>90</v>
      </c>
      <c r="G9" s="135">
        <v>0.16</v>
      </c>
    </row>
    <row r="10" spans="1:10" x14ac:dyDescent="0.25">
      <c r="G10" s="136">
        <f>1+G9</f>
        <v>1.1599999999999999</v>
      </c>
      <c r="I10" s="129" t="s">
        <v>86</v>
      </c>
    </row>
    <row r="11" spans="1:10" x14ac:dyDescent="0.25">
      <c r="B11" s="137" t="s">
        <v>37</v>
      </c>
      <c r="D11" s="137" t="s">
        <v>91</v>
      </c>
      <c r="F11" s="129" t="s">
        <v>89</v>
      </c>
      <c r="H11" s="138">
        <f>B13*G10</f>
        <v>57999999.999999993</v>
      </c>
      <c r="I11" s="139">
        <v>1</v>
      </c>
      <c r="J11" s="138"/>
    </row>
    <row r="12" spans="1:10" x14ac:dyDescent="0.25">
      <c r="A12" s="140" t="s">
        <v>93</v>
      </c>
      <c r="B12" s="138">
        <f>E2</f>
        <v>5000000</v>
      </c>
      <c r="C12" s="129">
        <f>(1+$G$9)^10</f>
        <v>4.4114350786499141</v>
      </c>
      <c r="D12" s="138">
        <f>(C12*B12)-B12</f>
        <v>17057175.393249571</v>
      </c>
      <c r="F12" s="138">
        <f>G2*12*10</f>
        <v>6756011.0399634112</v>
      </c>
      <c r="G12" s="138"/>
      <c r="H12" s="138">
        <f t="shared" ref="H12:H20" si="0">H11*$G$10</f>
        <v>67279999.999999985</v>
      </c>
      <c r="I12" s="139">
        <v>2</v>
      </c>
    </row>
    <row r="13" spans="1:10" x14ac:dyDescent="0.25">
      <c r="A13" s="129" t="s">
        <v>94</v>
      </c>
      <c r="B13" s="138">
        <f>E3</f>
        <v>50000000</v>
      </c>
      <c r="C13" s="129">
        <f>(1+$G$9)^10</f>
        <v>4.4114350786499141</v>
      </c>
      <c r="D13" s="138">
        <f>(C13*B13)-B13</f>
        <v>170571753.93249571</v>
      </c>
      <c r="F13" s="138">
        <f>G3*12*10</f>
        <v>67560110.399634108</v>
      </c>
      <c r="G13" s="138"/>
      <c r="H13" s="138">
        <f t="shared" si="0"/>
        <v>78044799.99999997</v>
      </c>
      <c r="I13" s="139">
        <v>3</v>
      </c>
    </row>
    <row r="14" spans="1:10" x14ac:dyDescent="0.25">
      <c r="A14" s="129" t="s">
        <v>95</v>
      </c>
      <c r="B14" s="138">
        <f>E4</f>
        <v>5000000</v>
      </c>
      <c r="C14" s="129">
        <f>(1+$G$9)^10</f>
        <v>4.4114350786499141</v>
      </c>
      <c r="D14" s="138">
        <f>(C14*B14)-B14</f>
        <v>17057175.393249571</v>
      </c>
      <c r="F14" s="138">
        <f>G4*12*10</f>
        <v>6142346.4207544569</v>
      </c>
      <c r="H14" s="138">
        <f t="shared" si="0"/>
        <v>90531967.999999955</v>
      </c>
      <c r="I14" s="139">
        <v>4</v>
      </c>
    </row>
    <row r="15" spans="1:10" x14ac:dyDescent="0.25">
      <c r="A15" s="129" t="s">
        <v>96</v>
      </c>
      <c r="B15" s="138">
        <f>E5</f>
        <v>50000000</v>
      </c>
      <c r="C15" s="129">
        <f>(1+$G$9)^10</f>
        <v>4.4114350786499141</v>
      </c>
      <c r="D15" s="138">
        <f>(C15*B15)-B15</f>
        <v>170571753.93249571</v>
      </c>
      <c r="F15" s="138">
        <f>G5*12*10</f>
        <v>61423464.20754458</v>
      </c>
      <c r="H15" s="138">
        <f t="shared" si="0"/>
        <v>105017082.87999994</v>
      </c>
      <c r="I15" s="139">
        <v>5</v>
      </c>
    </row>
    <row r="16" spans="1:10" x14ac:dyDescent="0.25">
      <c r="B16" s="138"/>
      <c r="H16" s="138">
        <f t="shared" si="0"/>
        <v>121819816.14079991</v>
      </c>
      <c r="I16" s="139">
        <v>6</v>
      </c>
    </row>
    <row r="17" spans="2:9" x14ac:dyDescent="0.25">
      <c r="H17" s="138">
        <f t="shared" si="0"/>
        <v>141310986.72332788</v>
      </c>
      <c r="I17" s="139">
        <v>7</v>
      </c>
    </row>
    <row r="18" spans="2:9" x14ac:dyDescent="0.25">
      <c r="H18" s="138">
        <f t="shared" si="0"/>
        <v>163920744.59906033</v>
      </c>
      <c r="I18" s="139">
        <v>8</v>
      </c>
    </row>
    <row r="19" spans="2:9" x14ac:dyDescent="0.25">
      <c r="H19" s="138">
        <f t="shared" si="0"/>
        <v>190148063.73490995</v>
      </c>
      <c r="I19" s="139">
        <v>9</v>
      </c>
    </row>
    <row r="20" spans="2:9" x14ac:dyDescent="0.25">
      <c r="H20" s="138">
        <f t="shared" si="0"/>
        <v>220571753.93249553</v>
      </c>
      <c r="I20" s="139">
        <v>10</v>
      </c>
    </row>
    <row r="21" spans="2:9" x14ac:dyDescent="0.25">
      <c r="H21" s="138"/>
    </row>
    <row r="23" spans="2:9" x14ac:dyDescent="0.25">
      <c r="B23" s="197" t="str">
        <f>A12&amp;C2</f>
        <v>Aarav Cordova56</v>
      </c>
      <c r="C23" s="197"/>
      <c r="E23" s="197" t="str">
        <f>A14&amp;C4</f>
        <v>Aimee Barron21</v>
      </c>
      <c r="F23" s="197"/>
    </row>
    <row r="24" spans="2:9" x14ac:dyDescent="0.25">
      <c r="B24" s="141" t="s">
        <v>87</v>
      </c>
      <c r="E24" s="141" t="str">
        <f>B24</f>
        <v xml:space="preserve">Revenue </v>
      </c>
    </row>
    <row r="25" spans="2:9" x14ac:dyDescent="0.25">
      <c r="B25" s="129" t="s">
        <v>88</v>
      </c>
      <c r="C25" s="138">
        <f>B12</f>
        <v>5000000</v>
      </c>
      <c r="E25" s="129" t="str">
        <f>B25</f>
        <v>Premium</v>
      </c>
      <c r="F25" s="138">
        <f>B14</f>
        <v>5000000</v>
      </c>
    </row>
    <row r="26" spans="2:9" x14ac:dyDescent="0.25">
      <c r="B26" s="129" t="str">
        <f>D11</f>
        <v xml:space="preserve">Investment Income @16% </v>
      </c>
      <c r="C26" s="138">
        <f>D12</f>
        <v>17057175.393249571</v>
      </c>
      <c r="E26" s="129" t="str">
        <f>B26</f>
        <v xml:space="preserve">Investment Income @16% </v>
      </c>
      <c r="F26" s="138">
        <f>D14</f>
        <v>17057175.393249571</v>
      </c>
      <c r="G26" s="138"/>
    </row>
    <row r="27" spans="2:9" x14ac:dyDescent="0.25">
      <c r="B27" s="129" t="s">
        <v>32</v>
      </c>
      <c r="C27" s="142">
        <v>331363.73987608508</v>
      </c>
      <c r="E27" s="129" t="str">
        <f>B27</f>
        <v>Expenses</v>
      </c>
      <c r="F27" s="142">
        <v>344862.98224933853</v>
      </c>
    </row>
    <row r="28" spans="2:9" x14ac:dyDescent="0.25">
      <c r="B28" s="129" t="str">
        <f>F11</f>
        <v xml:space="preserve">Benefit Payout </v>
      </c>
      <c r="C28" s="138">
        <f>F12</f>
        <v>6756011.0399634112</v>
      </c>
      <c r="E28" s="129" t="str">
        <f>B28</f>
        <v xml:space="preserve">Benefit Payout </v>
      </c>
      <c r="F28" s="138">
        <f>F14</f>
        <v>6142346.4207544569</v>
      </c>
    </row>
    <row r="29" spans="2:9" x14ac:dyDescent="0.25">
      <c r="B29" s="141" t="s">
        <v>105</v>
      </c>
      <c r="C29" s="143">
        <f>C25+C26-C27-C28</f>
        <v>14969800.613410076</v>
      </c>
      <c r="E29" s="141" t="s">
        <v>105</v>
      </c>
      <c r="F29" s="143">
        <f>F25+F26-F27-F28</f>
        <v>15569965.990245776</v>
      </c>
    </row>
    <row r="30" spans="2:9" x14ac:dyDescent="0.25">
      <c r="B30" s="129" t="s">
        <v>107</v>
      </c>
      <c r="C30" s="138">
        <f>C26*0.3</f>
        <v>5117152.6179748708</v>
      </c>
      <c r="E30" s="129" t="s">
        <v>107</v>
      </c>
      <c r="F30" s="138">
        <f>F26*0.3</f>
        <v>5117152.6179748708</v>
      </c>
    </row>
    <row r="31" spans="2:9" x14ac:dyDescent="0.25">
      <c r="B31" s="141" t="s">
        <v>106</v>
      </c>
      <c r="C31" s="143">
        <f>C29-C30</f>
        <v>9852647.9954352044</v>
      </c>
      <c r="E31" s="141" t="s">
        <v>106</v>
      </c>
      <c r="F31" s="143">
        <f>F29-F30</f>
        <v>10452813.372270904</v>
      </c>
    </row>
    <row r="33" spans="1:7" s="137" customFormat="1" x14ac:dyDescent="0.25"/>
    <row r="34" spans="1:7" x14ac:dyDescent="0.25">
      <c r="B34" s="197" t="str">
        <f>A13&amp;C3</f>
        <v>Addie Dickerson56</v>
      </c>
      <c r="C34" s="197"/>
      <c r="E34" s="197" t="str">
        <f>A15&amp;C5</f>
        <v>Alfred Bonner21</v>
      </c>
      <c r="F34" s="197"/>
    </row>
    <row r="35" spans="1:7" x14ac:dyDescent="0.25">
      <c r="B35" s="141" t="s">
        <v>87</v>
      </c>
      <c r="E35" s="141" t="str">
        <f>B35</f>
        <v xml:space="preserve">Revenue </v>
      </c>
    </row>
    <row r="36" spans="1:7" x14ac:dyDescent="0.25">
      <c r="B36" s="129" t="s">
        <v>88</v>
      </c>
      <c r="C36" s="138">
        <f>B13</f>
        <v>50000000</v>
      </c>
      <c r="E36" s="129" t="str">
        <f>B36</f>
        <v>Premium</v>
      </c>
      <c r="F36" s="138">
        <f>B15</f>
        <v>50000000</v>
      </c>
    </row>
    <row r="37" spans="1:7" x14ac:dyDescent="0.25">
      <c r="B37" s="129" t="str">
        <f>B26</f>
        <v xml:space="preserve">Investment Income @16% </v>
      </c>
      <c r="C37" s="138">
        <f>D13</f>
        <v>170571753.93249571</v>
      </c>
      <c r="E37" s="129" t="str">
        <f>B37</f>
        <v xml:space="preserve">Investment Income @16% </v>
      </c>
      <c r="F37" s="138">
        <f>D15</f>
        <v>170571753.93249571</v>
      </c>
      <c r="G37" s="138"/>
    </row>
    <row r="38" spans="1:7" x14ac:dyDescent="0.25">
      <c r="B38" s="129" t="s">
        <v>32</v>
      </c>
      <c r="C38" s="142">
        <v>3313637.398760851</v>
      </c>
      <c r="E38" s="129" t="str">
        <f>B38</f>
        <v>Expenses</v>
      </c>
      <c r="F38" s="142">
        <v>3448629.8224933855</v>
      </c>
    </row>
    <row r="39" spans="1:7" x14ac:dyDescent="0.25">
      <c r="B39" s="129" t="str">
        <f>B28</f>
        <v xml:space="preserve">Benefit Payout </v>
      </c>
      <c r="C39" s="138">
        <f>F13</f>
        <v>67560110.399634108</v>
      </c>
      <c r="E39" s="129" t="str">
        <f>B39</f>
        <v xml:space="preserve">Benefit Payout </v>
      </c>
      <c r="F39" s="138">
        <f>F15</f>
        <v>61423464.20754458</v>
      </c>
    </row>
    <row r="40" spans="1:7" x14ac:dyDescent="0.25">
      <c r="B40" s="141" t="s">
        <v>105</v>
      </c>
      <c r="C40" s="143">
        <f>C36+C37-C38-C39</f>
        <v>149698006.13410074</v>
      </c>
      <c r="E40" s="141" t="s">
        <v>105</v>
      </c>
      <c r="F40" s="143">
        <f>F36+F37-F38-F39</f>
        <v>155699659.90245777</v>
      </c>
    </row>
    <row r="41" spans="1:7" x14ac:dyDescent="0.25">
      <c r="B41" s="129" t="s">
        <v>107</v>
      </c>
      <c r="C41" s="138">
        <f>0.3*C37</f>
        <v>51171526.179748714</v>
      </c>
      <c r="E41" s="129" t="s">
        <v>107</v>
      </c>
      <c r="F41" s="138">
        <f>F37*0.3</f>
        <v>51171526.179748714</v>
      </c>
    </row>
    <row r="42" spans="1:7" x14ac:dyDescent="0.25">
      <c r="B42" s="141" t="s">
        <v>106</v>
      </c>
      <c r="C42" s="143">
        <f>C40-C41</f>
        <v>98526479.954352021</v>
      </c>
      <c r="E42" s="141" t="s">
        <v>106</v>
      </c>
      <c r="F42" s="143">
        <f>F40-F41</f>
        <v>104528133.72270906</v>
      </c>
    </row>
    <row r="44" spans="1:7" s="137" customFormat="1" x14ac:dyDescent="0.25"/>
    <row r="46" spans="1:7" x14ac:dyDescent="0.25">
      <c r="A46" s="149"/>
      <c r="B46" s="199" t="s">
        <v>97</v>
      </c>
      <c r="C46" s="199"/>
      <c r="D46" s="149"/>
      <c r="E46" s="197" t="s">
        <v>98</v>
      </c>
      <c r="F46" s="197"/>
    </row>
    <row r="47" spans="1:7" x14ac:dyDescent="0.25">
      <c r="A47" s="149"/>
      <c r="B47" s="149" t="s">
        <v>87</v>
      </c>
      <c r="C47" s="150"/>
      <c r="D47" s="149"/>
      <c r="E47" s="129" t="s">
        <v>87</v>
      </c>
      <c r="F47" s="144"/>
    </row>
    <row r="48" spans="1:7" x14ac:dyDescent="0.25">
      <c r="A48" s="149"/>
      <c r="B48" s="149" t="s">
        <v>88</v>
      </c>
      <c r="C48" s="150">
        <v>500000</v>
      </c>
      <c r="D48" s="149"/>
      <c r="E48" s="129" t="s">
        <v>88</v>
      </c>
      <c r="F48" s="144">
        <v>500000</v>
      </c>
    </row>
    <row r="49" spans="1:9" x14ac:dyDescent="0.25">
      <c r="A49" s="149"/>
      <c r="B49" s="149" t="s">
        <v>91</v>
      </c>
      <c r="C49" s="151">
        <v>1311915.22254794</v>
      </c>
      <c r="D49" s="149"/>
      <c r="E49" s="129" t="s">
        <v>91</v>
      </c>
      <c r="F49" s="144">
        <v>1705717.5393249569</v>
      </c>
    </row>
    <row r="50" spans="1:9" x14ac:dyDescent="0.25">
      <c r="A50" s="149"/>
      <c r="B50" s="149" t="s">
        <v>32</v>
      </c>
      <c r="C50" s="150">
        <v>32101.638692668945</v>
      </c>
      <c r="D50" s="149"/>
      <c r="E50" s="129" t="s">
        <v>32</v>
      </c>
      <c r="F50" s="144">
        <v>34487.045218702173</v>
      </c>
      <c r="G50" s="129">
        <v>1</v>
      </c>
      <c r="H50" s="147">
        <f>1.16</f>
        <v>1.1599999999999999</v>
      </c>
      <c r="I50" s="148">
        <f>C48*H50</f>
        <v>580000</v>
      </c>
    </row>
    <row r="51" spans="1:9" x14ac:dyDescent="0.25">
      <c r="A51" s="149"/>
      <c r="B51" s="149" t="s">
        <v>89</v>
      </c>
      <c r="C51" s="150">
        <v>719082.30137924012</v>
      </c>
      <c r="D51" s="152"/>
      <c r="E51" s="129" t="s">
        <v>89</v>
      </c>
      <c r="F51" s="144">
        <v>614705.9507436743</v>
      </c>
      <c r="G51" s="129">
        <v>2</v>
      </c>
      <c r="H51" s="147">
        <v>1.155</v>
      </c>
      <c r="I51" s="148">
        <f>I50*H51</f>
        <v>669900</v>
      </c>
    </row>
    <row r="52" spans="1:9" x14ac:dyDescent="0.25">
      <c r="A52" s="149"/>
      <c r="B52" s="153" t="s">
        <v>105</v>
      </c>
      <c r="C52" s="154">
        <v>1454533.5992530501</v>
      </c>
      <c r="D52" s="152"/>
      <c r="E52" s="141" t="s">
        <v>105</v>
      </c>
      <c r="F52" s="145">
        <v>1556524.5433625802</v>
      </c>
      <c r="G52" s="129">
        <v>3</v>
      </c>
      <c r="H52" s="147">
        <v>1.1499999999999999</v>
      </c>
      <c r="I52" s="148">
        <f t="shared" ref="I52:I59" si="1">I51*H52</f>
        <v>770384.99999999988</v>
      </c>
    </row>
    <row r="53" spans="1:9" x14ac:dyDescent="0.25">
      <c r="A53" s="149"/>
      <c r="B53" s="153" t="s">
        <v>107</v>
      </c>
      <c r="C53" s="152">
        <f>0.3*C49</f>
        <v>393574.56676438201</v>
      </c>
      <c r="D53" s="155"/>
      <c r="E53" s="141" t="s">
        <v>107</v>
      </c>
      <c r="F53" s="138">
        <f>F49*0.3</f>
        <v>511715.26179748704</v>
      </c>
      <c r="G53" s="129">
        <v>4</v>
      </c>
      <c r="H53" s="147">
        <v>1.145</v>
      </c>
      <c r="I53" s="148">
        <f t="shared" si="1"/>
        <v>882090.82499999984</v>
      </c>
    </row>
    <row r="54" spans="1:9" x14ac:dyDescent="0.25">
      <c r="A54" s="149"/>
      <c r="B54" s="153" t="s">
        <v>106</v>
      </c>
      <c r="C54" s="155">
        <f>C52-C53</f>
        <v>1060959.0324886681</v>
      </c>
      <c r="D54" s="155"/>
      <c r="E54" s="141" t="s">
        <v>106</v>
      </c>
      <c r="F54" s="145">
        <f>F52-F53</f>
        <v>1044809.2815650932</v>
      </c>
      <c r="G54" s="129">
        <v>5</v>
      </c>
      <c r="H54" s="147">
        <v>1.1399999999999999</v>
      </c>
      <c r="I54" s="148">
        <f t="shared" si="1"/>
        <v>1005583.5404999998</v>
      </c>
    </row>
    <row r="55" spans="1:9" x14ac:dyDescent="0.25">
      <c r="C55" s="144"/>
      <c r="F55" s="144"/>
      <c r="G55" s="129">
        <v>6</v>
      </c>
      <c r="H55" s="147">
        <v>1.135</v>
      </c>
      <c r="I55" s="148">
        <f t="shared" si="1"/>
        <v>1141337.3184674997</v>
      </c>
    </row>
    <row r="56" spans="1:9" s="137" customFormat="1" x14ac:dyDescent="0.25">
      <c r="C56" s="146"/>
      <c r="F56" s="146"/>
      <c r="G56" s="129">
        <v>7</v>
      </c>
      <c r="H56" s="147">
        <v>1.1299999999999999</v>
      </c>
      <c r="I56" s="148">
        <f t="shared" si="1"/>
        <v>1289711.1698682746</v>
      </c>
    </row>
    <row r="57" spans="1:9" x14ac:dyDescent="0.25">
      <c r="B57" s="197" t="s">
        <v>99</v>
      </c>
      <c r="C57" s="197"/>
      <c r="E57" s="197" t="s">
        <v>100</v>
      </c>
      <c r="F57" s="197"/>
      <c r="G57" s="129">
        <v>8</v>
      </c>
      <c r="H57" s="147">
        <v>1.125</v>
      </c>
      <c r="I57" s="148">
        <f t="shared" si="1"/>
        <v>1450925.066101809</v>
      </c>
    </row>
    <row r="58" spans="1:9" x14ac:dyDescent="0.25">
      <c r="B58" s="129" t="s">
        <v>87</v>
      </c>
      <c r="C58" s="144"/>
      <c r="E58" s="129" t="s">
        <v>87</v>
      </c>
      <c r="F58" s="144"/>
      <c r="G58" s="129">
        <v>9</v>
      </c>
      <c r="H58" s="147">
        <v>1.1200000000000001</v>
      </c>
      <c r="I58" s="148">
        <f t="shared" si="1"/>
        <v>1625036.0740340264</v>
      </c>
    </row>
    <row r="59" spans="1:9" x14ac:dyDescent="0.25">
      <c r="B59" s="129" t="s">
        <v>88</v>
      </c>
      <c r="C59" s="144">
        <v>1000000</v>
      </c>
      <c r="E59" s="129" t="s">
        <v>88</v>
      </c>
      <c r="F59" s="144">
        <v>1000000</v>
      </c>
      <c r="G59" s="129">
        <v>10</v>
      </c>
      <c r="H59" s="147">
        <v>1.115</v>
      </c>
      <c r="I59" s="148">
        <f t="shared" si="1"/>
        <v>1811915.2225479393</v>
      </c>
    </row>
    <row r="60" spans="1:9" x14ac:dyDescent="0.25">
      <c r="B60" s="129" t="s">
        <v>91</v>
      </c>
      <c r="C60" s="144">
        <v>3411435.0786499139</v>
      </c>
      <c r="E60" s="129" t="s">
        <v>91</v>
      </c>
      <c r="F60" s="144">
        <v>3411435.0786499139</v>
      </c>
      <c r="H60" s="147"/>
      <c r="I60" s="148"/>
    </row>
    <row r="61" spans="1:9" x14ac:dyDescent="0.25">
      <c r="B61" s="129" t="s">
        <v>32</v>
      </c>
      <c r="C61" s="144">
        <v>64203.277385337889</v>
      </c>
      <c r="E61" s="129" t="s">
        <v>32</v>
      </c>
      <c r="F61" s="144">
        <v>68974.090437404346</v>
      </c>
      <c r="H61" s="147"/>
      <c r="I61" s="148"/>
    </row>
    <row r="62" spans="1:9" x14ac:dyDescent="0.25">
      <c r="B62" s="129" t="s">
        <v>89</v>
      </c>
      <c r="C62" s="144">
        <v>1438164.6027584802</v>
      </c>
      <c r="E62" s="129" t="s">
        <v>89</v>
      </c>
      <c r="F62" s="144">
        <v>1229411.9014873486</v>
      </c>
      <c r="H62" s="147"/>
      <c r="I62" s="148">
        <f>I59-C48</f>
        <v>1311915.2225479393</v>
      </c>
    </row>
    <row r="63" spans="1:9" x14ac:dyDescent="0.25">
      <c r="B63" s="141" t="s">
        <v>105</v>
      </c>
      <c r="C63" s="143">
        <f>C59+C60-C61-C62</f>
        <v>2909067.1985060954</v>
      </c>
      <c r="D63" s="143"/>
      <c r="E63" s="141" t="s">
        <v>105</v>
      </c>
      <c r="F63" s="145">
        <v>3113049.0867251605</v>
      </c>
      <c r="I63" s="148"/>
    </row>
    <row r="64" spans="1:9" x14ac:dyDescent="0.25">
      <c r="B64" s="129" t="s">
        <v>107</v>
      </c>
      <c r="C64" s="138">
        <f>0.3*C60</f>
        <v>1023430.5235949741</v>
      </c>
      <c r="E64" s="141" t="s">
        <v>107</v>
      </c>
      <c r="F64" s="138">
        <f>F60*0.3</f>
        <v>1023430.5235949741</v>
      </c>
      <c r="I64" s="148"/>
    </row>
    <row r="65" spans="1:9" x14ac:dyDescent="0.25">
      <c r="B65" s="141" t="s">
        <v>106</v>
      </c>
      <c r="C65" s="143">
        <f>C63-C64</f>
        <v>1885636.6749111214</v>
      </c>
      <c r="E65" s="141" t="s">
        <v>106</v>
      </c>
      <c r="F65" s="145">
        <f>F63-F64</f>
        <v>2089618.5631301864</v>
      </c>
      <c r="I65" s="148"/>
    </row>
    <row r="67" spans="1:9" x14ac:dyDescent="0.25">
      <c r="H67" s="148">
        <v>1311915.2225479393</v>
      </c>
    </row>
    <row r="71" spans="1:9" x14ac:dyDescent="0.25">
      <c r="A71" s="144"/>
      <c r="B71" s="144"/>
      <c r="C71" s="144"/>
      <c r="D71" s="144"/>
      <c r="E71" s="144"/>
      <c r="F71" s="144"/>
      <c r="G71" s="144"/>
      <c r="H71" s="144"/>
    </row>
    <row r="72" spans="1:9" x14ac:dyDescent="0.25">
      <c r="A72" s="144"/>
      <c r="B72" s="144"/>
      <c r="C72" s="144"/>
      <c r="D72" s="144"/>
      <c r="E72" s="144"/>
      <c r="F72" s="144"/>
      <c r="G72" s="144"/>
      <c r="H72" s="144"/>
    </row>
    <row r="73" spans="1:9" x14ac:dyDescent="0.25">
      <c r="A73" s="144"/>
      <c r="B73" s="144"/>
      <c r="C73" s="144"/>
      <c r="D73" s="144"/>
      <c r="E73" s="144"/>
      <c r="F73" s="144"/>
      <c r="G73" s="144"/>
      <c r="H73" s="144"/>
    </row>
    <row r="74" spans="1:9" x14ac:dyDescent="0.25">
      <c r="A74" s="144"/>
      <c r="B74" s="198" t="s">
        <v>101</v>
      </c>
      <c r="C74" s="198"/>
      <c r="D74" s="145"/>
      <c r="E74" s="198" t="s">
        <v>102</v>
      </c>
      <c r="F74" s="198"/>
      <c r="G74" s="144"/>
      <c r="H74" s="144"/>
    </row>
    <row r="75" spans="1:9" x14ac:dyDescent="0.25">
      <c r="A75" s="144"/>
      <c r="B75" s="144" t="s">
        <v>87</v>
      </c>
      <c r="C75" s="144"/>
      <c r="D75" s="144"/>
      <c r="E75" s="144" t="s">
        <v>87</v>
      </c>
      <c r="F75" s="144"/>
      <c r="G75" s="144"/>
      <c r="H75" s="144"/>
    </row>
    <row r="76" spans="1:9" x14ac:dyDescent="0.25">
      <c r="A76" s="144"/>
      <c r="B76" s="144" t="s">
        <v>88</v>
      </c>
      <c r="C76" s="144">
        <v>5000000</v>
      </c>
      <c r="D76" s="144"/>
      <c r="E76" s="144" t="s">
        <v>88</v>
      </c>
      <c r="F76" s="144">
        <v>5000000</v>
      </c>
      <c r="G76" s="144"/>
      <c r="H76" s="144"/>
    </row>
    <row r="77" spans="1:9" x14ac:dyDescent="0.25">
      <c r="A77" s="144"/>
      <c r="B77" s="144" t="s">
        <v>91</v>
      </c>
      <c r="C77" s="144">
        <v>17057175.393249571</v>
      </c>
      <c r="D77" s="144"/>
      <c r="E77" s="144" t="s">
        <v>91</v>
      </c>
      <c r="F77" s="144">
        <v>17057175.393249571</v>
      </c>
      <c r="G77" s="144"/>
      <c r="H77" s="144"/>
    </row>
    <row r="78" spans="1:9" x14ac:dyDescent="0.25">
      <c r="A78" s="144"/>
      <c r="B78" s="144" t="s">
        <v>32</v>
      </c>
      <c r="C78" s="144">
        <v>331363.73987608508</v>
      </c>
      <c r="D78" s="144"/>
      <c r="E78" s="144" t="s">
        <v>32</v>
      </c>
      <c r="F78" s="144">
        <v>344862.98224933853</v>
      </c>
      <c r="G78" s="144"/>
      <c r="H78" s="144"/>
    </row>
    <row r="79" spans="1:9" x14ac:dyDescent="0.25">
      <c r="A79" s="144"/>
      <c r="B79" s="144" t="s">
        <v>89</v>
      </c>
      <c r="C79" s="144">
        <v>6756011.0399634112</v>
      </c>
      <c r="D79" s="144"/>
      <c r="E79" s="144" t="s">
        <v>89</v>
      </c>
      <c r="F79" s="144">
        <v>6142346.4207544569</v>
      </c>
      <c r="G79" s="144"/>
      <c r="H79" s="144"/>
    </row>
    <row r="80" spans="1:9" x14ac:dyDescent="0.25">
      <c r="A80" s="144"/>
      <c r="B80" s="145" t="s">
        <v>92</v>
      </c>
      <c r="C80" s="145">
        <v>14969800.613410076</v>
      </c>
      <c r="D80" s="145"/>
      <c r="E80" s="145" t="s">
        <v>92</v>
      </c>
      <c r="F80" s="145">
        <v>15569965.990245776</v>
      </c>
      <c r="G80" s="144"/>
      <c r="H80" s="144"/>
    </row>
    <row r="81" spans="1:8" x14ac:dyDescent="0.25">
      <c r="A81" s="144"/>
      <c r="B81" s="145"/>
      <c r="C81" s="145"/>
      <c r="D81" s="145"/>
      <c r="E81" s="145"/>
      <c r="F81" s="145"/>
      <c r="G81" s="144"/>
      <c r="H81" s="144"/>
    </row>
    <row r="82" spans="1:8" x14ac:dyDescent="0.25">
      <c r="A82" s="144"/>
      <c r="B82" s="145"/>
      <c r="C82" s="145"/>
      <c r="D82" s="145"/>
      <c r="E82" s="145"/>
      <c r="F82" s="145"/>
      <c r="G82" s="144"/>
      <c r="H82" s="144"/>
    </row>
    <row r="83" spans="1:8" x14ac:dyDescent="0.25">
      <c r="A83" s="144"/>
      <c r="B83" s="198" t="s">
        <v>103</v>
      </c>
      <c r="C83" s="198"/>
      <c r="D83" s="145"/>
      <c r="E83" s="198" t="s">
        <v>104</v>
      </c>
      <c r="F83" s="198"/>
      <c r="G83" s="144"/>
      <c r="H83" s="144"/>
    </row>
    <row r="84" spans="1:8" x14ac:dyDescent="0.25">
      <c r="A84" s="144"/>
      <c r="B84" s="144" t="s">
        <v>87</v>
      </c>
      <c r="C84" s="144"/>
      <c r="D84" s="144"/>
      <c r="E84" s="144" t="s">
        <v>87</v>
      </c>
      <c r="F84" s="144"/>
      <c r="G84" s="144"/>
      <c r="H84" s="144"/>
    </row>
    <row r="85" spans="1:8" x14ac:dyDescent="0.25">
      <c r="A85" s="144"/>
      <c r="B85" s="144" t="s">
        <v>88</v>
      </c>
      <c r="C85" s="144">
        <v>50000000</v>
      </c>
      <c r="D85" s="144"/>
      <c r="E85" s="144" t="s">
        <v>88</v>
      </c>
      <c r="F85" s="144">
        <v>50000000</v>
      </c>
      <c r="G85" s="144"/>
      <c r="H85" s="144"/>
    </row>
    <row r="86" spans="1:8" x14ac:dyDescent="0.25">
      <c r="A86" s="144"/>
      <c r="B86" s="144" t="s">
        <v>91</v>
      </c>
      <c r="C86" s="144">
        <v>170571753.93249571</v>
      </c>
      <c r="D86" s="144"/>
      <c r="E86" s="144" t="s">
        <v>91</v>
      </c>
      <c r="F86" s="144">
        <v>170571753.93249571</v>
      </c>
      <c r="G86" s="144"/>
      <c r="H86" s="144"/>
    </row>
    <row r="87" spans="1:8" x14ac:dyDescent="0.25">
      <c r="A87" s="144"/>
      <c r="B87" s="144" t="s">
        <v>32</v>
      </c>
      <c r="C87" s="144">
        <v>3313637.398760851</v>
      </c>
      <c r="D87" s="144"/>
      <c r="E87" s="144" t="s">
        <v>32</v>
      </c>
      <c r="F87" s="144">
        <v>3448629.8224933855</v>
      </c>
      <c r="G87" s="144"/>
      <c r="H87" s="144"/>
    </row>
    <row r="88" spans="1:8" x14ac:dyDescent="0.25">
      <c r="A88" s="144"/>
      <c r="B88" s="144" t="s">
        <v>89</v>
      </c>
      <c r="C88" s="144">
        <v>67560110.399634108</v>
      </c>
      <c r="D88" s="144"/>
      <c r="E88" s="144" t="s">
        <v>89</v>
      </c>
      <c r="F88" s="144">
        <v>61423464.20754458</v>
      </c>
      <c r="G88" s="144"/>
      <c r="H88" s="144"/>
    </row>
    <row r="89" spans="1:8" x14ac:dyDescent="0.25">
      <c r="A89" s="144"/>
      <c r="B89" s="145" t="s">
        <v>92</v>
      </c>
      <c r="C89" s="145">
        <v>149698006.13410074</v>
      </c>
      <c r="D89" s="145"/>
      <c r="E89" s="145" t="s">
        <v>92</v>
      </c>
      <c r="F89" s="145">
        <v>155699659.90245777</v>
      </c>
      <c r="G89" s="144"/>
      <c r="H89" s="144"/>
    </row>
    <row r="90" spans="1:8" x14ac:dyDescent="0.25">
      <c r="A90" s="144"/>
      <c r="B90" s="144"/>
      <c r="C90" s="144"/>
      <c r="D90" s="144"/>
      <c r="E90" s="144"/>
      <c r="F90" s="144"/>
      <c r="G90" s="144"/>
      <c r="H90" s="144"/>
    </row>
  </sheetData>
  <mergeCells count="12">
    <mergeCell ref="B23:C23"/>
    <mergeCell ref="E23:F23"/>
    <mergeCell ref="B34:C34"/>
    <mergeCell ref="E34:F34"/>
    <mergeCell ref="B46:C46"/>
    <mergeCell ref="E46:F46"/>
    <mergeCell ref="B57:C57"/>
    <mergeCell ref="E57:F57"/>
    <mergeCell ref="B74:C74"/>
    <mergeCell ref="E74:F74"/>
    <mergeCell ref="B83:C83"/>
    <mergeCell ref="E83:F8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67</vt:i4>
      </vt:variant>
    </vt:vector>
  </HeadingPairs>
  <TitlesOfParts>
    <vt:vector size="74" baseType="lpstr">
      <vt:lpstr>SA85-90</vt:lpstr>
      <vt:lpstr>Data</vt:lpstr>
      <vt:lpstr>PDF</vt:lpstr>
      <vt:lpstr>Historical Data</vt:lpstr>
      <vt:lpstr>Import Data</vt:lpstr>
      <vt:lpstr>Basis</vt:lpstr>
      <vt:lpstr>Profit Testing </vt:lpstr>
      <vt:lpstr>'SA85-90'!AdminExpAM92</vt:lpstr>
      <vt:lpstr>AdministrativeExpense</vt:lpstr>
      <vt:lpstr>AdminRate</vt:lpstr>
      <vt:lpstr>AgeNextBirthday</vt:lpstr>
      <vt:lpstr>AgeNextBirthdayPDF</vt:lpstr>
      <vt:lpstr>AnnualBenefit</vt:lpstr>
      <vt:lpstr>Basis</vt:lpstr>
      <vt:lpstr>Benefit</vt:lpstr>
      <vt:lpstr>ComissionExpense</vt:lpstr>
      <vt:lpstr>Commission</vt:lpstr>
      <vt:lpstr>'SA85-90'!CommissionAM92</vt:lpstr>
      <vt:lpstr>CommissionExpense</vt:lpstr>
      <vt:lpstr>CommissionExpRate</vt:lpstr>
      <vt:lpstr>CompoundingPeriod</vt:lpstr>
      <vt:lpstr>DateOfBirthPDF</vt:lpstr>
      <vt:lpstr>DeferedAge</vt:lpstr>
      <vt:lpstr>DeferredAge</vt:lpstr>
      <vt:lpstr>DefferedAge</vt:lpstr>
      <vt:lpstr>DiscountRate</vt:lpstr>
      <vt:lpstr>DueDateUNIMA</vt:lpstr>
      <vt:lpstr>EPVAnnuityGuaranteed</vt:lpstr>
      <vt:lpstr>'SA85-90'!EPVAnnuityGuaranteeddAM92</vt:lpstr>
      <vt:lpstr>EVPExpense</vt:lpstr>
      <vt:lpstr>FiveYearGuarantee</vt:lpstr>
      <vt:lpstr>Gender</vt:lpstr>
      <vt:lpstr>'SA85-90'!InitialExpAM92</vt:lpstr>
      <vt:lpstr>InitialExpense</vt:lpstr>
      <vt:lpstr>InitialExpRate</vt:lpstr>
      <vt:lpstr>Interest</vt:lpstr>
      <vt:lpstr>InterestRate</vt:lpstr>
      <vt:lpstr>'SA85-90'!InterestRateAM92</vt:lpstr>
      <vt:lpstr>IntermediaryName</vt:lpstr>
      <vt:lpstr>MonthlyBenefit</vt:lpstr>
      <vt:lpstr>Name</vt:lpstr>
      <vt:lpstr>NamePDF</vt:lpstr>
      <vt:lpstr>NYearProbabilitySurvival</vt:lpstr>
      <vt:lpstr>'SA85-90'!NYearProbabilitySurvivalAM92</vt:lpstr>
      <vt:lpstr>PaymentFrequencyPDF</vt:lpstr>
      <vt:lpstr>PaymentPeriod</vt:lpstr>
      <vt:lpstr>'SA85-90'!PaymentPeriodsAM92</vt:lpstr>
      <vt:lpstr>Premium</vt:lpstr>
      <vt:lpstr>'SA85-90'!PremiumAM92</vt:lpstr>
      <vt:lpstr>PremiumPDF</vt:lpstr>
      <vt:lpstr>'SA85-90'!PresentValueFactorAM92</vt:lpstr>
      <vt:lpstr>PDF!Print_Area</vt:lpstr>
      <vt:lpstr>ProposerName</vt:lpstr>
      <vt:lpstr>PthlyAnnuityCertain</vt:lpstr>
      <vt:lpstr>'SA85-90'!PthlyAnnuityCertainAM92</vt:lpstr>
      <vt:lpstr>PthlyDiscountRate</vt:lpstr>
      <vt:lpstr>'SA85-90'!PthlyDiscountRateAM92</vt:lpstr>
      <vt:lpstr>PthlyFactor</vt:lpstr>
      <vt:lpstr>'SA85-90'!PthlyFactorAM92</vt:lpstr>
      <vt:lpstr>'SA85-90'!PthlyPresentValueFactorAM92</vt:lpstr>
      <vt:lpstr>PthlyWholeLifeAnnuityDeferrednYears</vt:lpstr>
      <vt:lpstr>'SA85-90'!PthlyWholeLifeAnnuityDeferrednYearsAM92</vt:lpstr>
      <vt:lpstr>PVF</vt:lpstr>
      <vt:lpstr>PVofNthPayment</vt:lpstr>
      <vt:lpstr>QuarterlyBenefit</vt:lpstr>
      <vt:lpstr>QuotationDate</vt:lpstr>
      <vt:lpstr>QuotationRef</vt:lpstr>
      <vt:lpstr>SemiAnnualBenefit</vt:lpstr>
      <vt:lpstr>TenYearGuarantee</vt:lpstr>
      <vt:lpstr>'SA85-90'!TermNYearsAM92</vt:lpstr>
      <vt:lpstr>WholeLifeAnnuityAgeX</vt:lpstr>
      <vt:lpstr>WholeLifeAnnuityAgeXPlusN</vt:lpstr>
      <vt:lpstr>'SA85-90'!WholeLifeAnnuityAgeXPlusNAM92</vt:lpstr>
      <vt:lpstr>'SA85-90'!YearlyAdminExpAM92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Khuluma Singini</dc:creator>
  <cp:lastModifiedBy>Khuluma Singini</cp:lastModifiedBy>
  <cp:lastPrinted>2023-06-26T23:06:13Z</cp:lastPrinted>
  <dcterms:created xsi:type="dcterms:W3CDTF">2023-05-08T06:41:55Z</dcterms:created>
  <dcterms:modified xsi:type="dcterms:W3CDTF">2023-06-28T02:31:55Z</dcterms:modified>
</cp:coreProperties>
</file>